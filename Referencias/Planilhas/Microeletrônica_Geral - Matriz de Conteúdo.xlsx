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dade 1" sheetId="1" r:id="rId5"/>
    <sheet state="visible" name="Unidade 2" sheetId="2" r:id="rId6"/>
    <sheet state="visible" name="Unidade 3" sheetId="3" r:id="rId7"/>
    <sheet state="visible" name="Unidade 4" sheetId="4" r:id="rId8"/>
    <sheet state="visible" name="Unidade 5" sheetId="5" r:id="rId9"/>
    <sheet state="visible" name="Unidade 6" sheetId="6" r:id="rId10"/>
    <sheet state="visible" name="Unidade 7" sheetId="7" r:id="rId11"/>
  </sheets>
  <definedNames>
    <definedName hidden="1" localSheetId="1" name="_xlnm._FilterDatabase">'Unidade 2'!$A$1:$AE$22</definedName>
    <definedName hidden="1" localSheetId="2" name="_xlnm._FilterDatabase">'Unidade 3'!$A$1:$AE$44</definedName>
    <definedName hidden="1" localSheetId="3" name="_xlnm._FilterDatabase">'Unidade 4'!$A$1:$AE$42</definedName>
  </definedNames>
  <calcPr/>
</workbook>
</file>

<file path=xl/sharedStrings.xml><?xml version="1.0" encoding="utf-8"?>
<sst xmlns="http://schemas.openxmlformats.org/spreadsheetml/2006/main" count="4630" uniqueCount="826">
  <si>
    <t xml:space="preserve">Unidade </t>
  </si>
  <si>
    <t>Capítulo</t>
  </si>
  <si>
    <t>Código do Objeto</t>
  </si>
  <si>
    <t>Tipo de Objeto</t>
  </si>
  <si>
    <t>Progresso</t>
  </si>
  <si>
    <t xml:space="preserve">% </t>
  </si>
  <si>
    <t>🔗 Objeto</t>
  </si>
  <si>
    <t>Conteudista</t>
  </si>
  <si>
    <t>Deadline Conteudi</t>
  </si>
  <si>
    <t>Status Conteudista</t>
  </si>
  <si>
    <t>DI</t>
  </si>
  <si>
    <t>Deadline DI</t>
  </si>
  <si>
    <t>Status DI</t>
  </si>
  <si>
    <t>Prof. Ator</t>
  </si>
  <si>
    <t>Deadline Gravação</t>
  </si>
  <si>
    <t>Status Gravação</t>
  </si>
  <si>
    <t>Prof. Técnico</t>
  </si>
  <si>
    <t>Deadline Revisão</t>
  </si>
  <si>
    <t>Status Revisão</t>
  </si>
  <si>
    <t>Produtor Acessi</t>
  </si>
  <si>
    <t>Deadline Acessibili</t>
  </si>
  <si>
    <t>Status Acessibilidade</t>
  </si>
  <si>
    <t>Produtor</t>
  </si>
  <si>
    <t>Deadline Produtor</t>
  </si>
  <si>
    <t>Status Produtor</t>
  </si>
  <si>
    <t>🔗Objeto Final</t>
  </si>
  <si>
    <t>Validação Final</t>
  </si>
  <si>
    <t>Deadline Final</t>
  </si>
  <si>
    <t>Status Validação Final</t>
  </si>
  <si>
    <t>U1C1O1V1</t>
  </si>
  <si>
    <t>Roteiro de Vídeo</t>
  </si>
  <si>
    <t>Microelêtronica-U1C1O1V1</t>
  </si>
  <si>
    <t>davi@fmm.org.br</t>
  </si>
  <si>
    <t>Concluído</t>
  </si>
  <si>
    <t>Janyeire Oliveira</t>
  </si>
  <si>
    <t>Davi Leão</t>
  </si>
  <si>
    <t>Glaucionor Oliveira</t>
  </si>
  <si>
    <t>Wesley Frutuoso</t>
  </si>
  <si>
    <t>Pendente</t>
  </si>
  <si>
    <t>Ítalo Freire</t>
  </si>
  <si>
    <t>Microeletrônica-U1C1O1V1-Vídeo.mp4</t>
  </si>
  <si>
    <t>Nicolas Marques</t>
  </si>
  <si>
    <t>U1C1O1V2</t>
  </si>
  <si>
    <t>Microelêtronica-U1C1O1V2</t>
  </si>
  <si>
    <t>Microeletrônica-U1C1O1V2-Vídeo.mp4</t>
  </si>
  <si>
    <t>U1C1O1V3</t>
  </si>
  <si>
    <t>Microelêtronica-U1C1O1V3</t>
  </si>
  <si>
    <t>Microeletrônica-U1C1O1V3-Vídeo.mp4</t>
  </si>
  <si>
    <t>U1C1O1S1</t>
  </si>
  <si>
    <t>Slide</t>
  </si>
  <si>
    <t>Microelêtronica-U1C1O1S1</t>
  </si>
  <si>
    <t>Andressa Alves</t>
  </si>
  <si>
    <t>Slide - U1C1O1S1.pdf</t>
  </si>
  <si>
    <t>U1C1O1S2</t>
  </si>
  <si>
    <t>Microelêtronica-U1C1O1S2</t>
  </si>
  <si>
    <t>Slide - U1C1O1S2.pdf</t>
  </si>
  <si>
    <t>U1C1O1S3</t>
  </si>
  <si>
    <t>Microelêtronica-U1C1O1S3</t>
  </si>
  <si>
    <t>Slide - U1C1O1S3.pdf</t>
  </si>
  <si>
    <t>U1C1O1Q1</t>
  </si>
  <si>
    <t>Quiz</t>
  </si>
  <si>
    <t>Microelêtronica-U1C1O1Q1</t>
  </si>
  <si>
    <t>Quiz - U1C1O1Q1.pdf</t>
  </si>
  <si>
    <t>U1C1O1P1</t>
  </si>
  <si>
    <t>Plano de Aula</t>
  </si>
  <si>
    <t>Microelêtronica-U1C1O1P1</t>
  </si>
  <si>
    <t>Plano de Aula - U1C1O1P1.pdf</t>
  </si>
  <si>
    <t>U1C1O1E1</t>
  </si>
  <si>
    <t>Ebook</t>
  </si>
  <si>
    <t>Microelêtronica-U1C1O1E1</t>
  </si>
  <si>
    <t>Ebook - U1C1O1E1.pdf</t>
  </si>
  <si>
    <t>U1C1O3T1</t>
  </si>
  <si>
    <t>Tarefa</t>
  </si>
  <si>
    <t>Microelêtronica-U1C1O3T1</t>
  </si>
  <si>
    <t>Tarefa - U1C1O3T1.pdf</t>
  </si>
  <si>
    <t>U1C2O1V1</t>
  </si>
  <si>
    <t>Microelêtronica-U1C2O1V1</t>
  </si>
  <si>
    <t>Microeletrônica-U1C2O1V1-Vídeo.mp4</t>
  </si>
  <si>
    <t>U1C2O1V2</t>
  </si>
  <si>
    <t>Microelêtronica-U1C2O1V2</t>
  </si>
  <si>
    <t>Microeletrônica-U1C2O1V2-Vídeo.mp4</t>
  </si>
  <si>
    <t>U1C2O1V3</t>
  </si>
  <si>
    <t>Microelêtronica-U1C2O1V3</t>
  </si>
  <si>
    <t>Microeletrônica-U1C2O1V3-Vídeo.mp4</t>
  </si>
  <si>
    <t>U1C2O1S1</t>
  </si>
  <si>
    <t>Microelêtronica-U1C2O1S1</t>
  </si>
  <si>
    <t>Slide - U1C2O1S1.pdf</t>
  </si>
  <si>
    <t>U1C2O1S2</t>
  </si>
  <si>
    <t>Microelêtronica-U1C2O1S2</t>
  </si>
  <si>
    <t>Slide - U1C2O1S2.pdf</t>
  </si>
  <si>
    <t>U1C2O1S3</t>
  </si>
  <si>
    <t>Microelêtronica-U1C2O1S3</t>
  </si>
  <si>
    <t>Slide - U1C2O1S3.pdf</t>
  </si>
  <si>
    <t>U1C2O1Q1</t>
  </si>
  <si>
    <t>Microelêtronica-U1C2O1Q1</t>
  </si>
  <si>
    <t>Quiz - U1C2O1Q1.pdf</t>
  </si>
  <si>
    <t>U1C2O1P1</t>
  </si>
  <si>
    <t>Microelêtronica-U1C2O1P1</t>
  </si>
  <si>
    <t>Plano de Aula - U1C2O1P1.pdf</t>
  </si>
  <si>
    <t>U1C2O1E1</t>
  </si>
  <si>
    <t>Microelêtronica-U1C2O1E1</t>
  </si>
  <si>
    <t>Ebook - U1C2O1E1.pdf</t>
  </si>
  <si>
    <t>U1C2O3T1</t>
  </si>
  <si>
    <t>Microelêtronica-U1C2O3T1</t>
  </si>
  <si>
    <t>Tarefa - U1C2O3T1.pdf</t>
  </si>
  <si>
    <t>U1C3O1V1</t>
  </si>
  <si>
    <t>Microelêtronica-U1C3O1V1</t>
  </si>
  <si>
    <t>Microeletrônica-U1C3O1V1-Vídeo.mp4</t>
  </si>
  <si>
    <t>U1C3O1V2</t>
  </si>
  <si>
    <t>Microelêtronica-U1C3O1V2</t>
  </si>
  <si>
    <t>Microeletrônica-U1C3O1V2-Vídeo.mp4</t>
  </si>
  <si>
    <t>U1C3O1V3</t>
  </si>
  <si>
    <t>Microelêtronica-U1C3O1V3</t>
  </si>
  <si>
    <t xml:space="preserve"> Microeletrônica-U1C3O1V3-Vídeo.mp4</t>
  </si>
  <si>
    <t>U1C3O1S1</t>
  </si>
  <si>
    <t>Microelêtronica-U1C3O1S1</t>
  </si>
  <si>
    <t>Slide - U1C3O1S1.pdf</t>
  </si>
  <si>
    <t>U1C3O1S2</t>
  </si>
  <si>
    <t>Microelêtronica-U1C3O1S2</t>
  </si>
  <si>
    <t>Slide - U1C3O1S2.pdf</t>
  </si>
  <si>
    <t>U1C3O1S3</t>
  </si>
  <si>
    <t>Microelêtronica-U1C3O1S3</t>
  </si>
  <si>
    <t>Slide - U1C3O1S3.pdf</t>
  </si>
  <si>
    <t>U1C3O1Q1</t>
  </si>
  <si>
    <t>Microelêtronica-U1C3O1Q1</t>
  </si>
  <si>
    <t>Quiz - U1C3O1Q1.pdf</t>
  </si>
  <si>
    <t>U1C3O1P1</t>
  </si>
  <si>
    <t>Microelêtronica-U1C3O1P1</t>
  </si>
  <si>
    <t>Plano de Aula - U1C3O1P1.pdf</t>
  </si>
  <si>
    <t>U1C3O1E1</t>
  </si>
  <si>
    <t>Microelêtronica-U1C3O1E1</t>
  </si>
  <si>
    <t>Ebook - U1C3O1E1.pdf</t>
  </si>
  <si>
    <t>U1C3O3T1</t>
  </si>
  <si>
    <t>Microelêtronica-U1C3O3T1</t>
  </si>
  <si>
    <t>Tarefa - U1C3O3T1.pdf</t>
  </si>
  <si>
    <t>Unidade</t>
  </si>
  <si>
    <t>Deadline Real</t>
  </si>
  <si>
    <t>Entrega Conteudista</t>
  </si>
  <si>
    <t>Professor Técnico</t>
  </si>
  <si>
    <t>U2C1O1V1</t>
  </si>
  <si>
    <t>Microeletrônica-U2C1O1V1</t>
  </si>
  <si>
    <t>João Fonsceca</t>
  </si>
  <si>
    <t>No prazo</t>
  </si>
  <si>
    <t>Weslley Frutuoso</t>
  </si>
  <si>
    <t>Ítalo Marques</t>
  </si>
  <si>
    <t xml:space="preserve"> Microeletrônica-U2C1O1V1-Vídeo.mp4</t>
  </si>
  <si>
    <t>U2C1O1V2</t>
  </si>
  <si>
    <t>Microeletrônica-U2C1O1V2</t>
  </si>
  <si>
    <t>Microeletrônica-U2C1O1V2-Vídeo.mp4</t>
  </si>
  <si>
    <t>U2C1O1V3</t>
  </si>
  <si>
    <t>Microeletrônica-U2C1O1V3</t>
  </si>
  <si>
    <t>Microeletrônica-U2C1O1V3-Vídeo.mp4</t>
  </si>
  <si>
    <t>U2C1O1S1</t>
  </si>
  <si>
    <t>Slide - U2C1O1S1.pptx</t>
  </si>
  <si>
    <t>Não há</t>
  </si>
  <si>
    <t>Slide - U2C1O1S1.pdf</t>
  </si>
  <si>
    <t>U2C1O1S2</t>
  </si>
  <si>
    <t>Slide - U2C1O1S2.pptx</t>
  </si>
  <si>
    <t>Slide - U2C1O1S2.pdf</t>
  </si>
  <si>
    <t>U2C1O1S3</t>
  </si>
  <si>
    <t>Slide - U2C1O1S3.pptx</t>
  </si>
  <si>
    <t>Slide - U2C1O1S3.pdf</t>
  </si>
  <si>
    <t>U2C1O1Q1</t>
  </si>
  <si>
    <t>Microeletrônica-U2C1O1Q1</t>
  </si>
  <si>
    <t>Quiz - U2C1O1Q1 .pdf</t>
  </si>
  <si>
    <t>U2C1O1P1</t>
  </si>
  <si>
    <t>Microeletrônica-U2C1O1P1</t>
  </si>
  <si>
    <t>Plano de Aula - U2C1O1P1.pdf</t>
  </si>
  <si>
    <t>U2C1O3V1</t>
  </si>
  <si>
    <t>Vídeo</t>
  </si>
  <si>
    <t>Microeletrônica-U2C1O3V1-Vídeo.mp4</t>
  </si>
  <si>
    <t>U2C1O3T1</t>
  </si>
  <si>
    <t>Microeletrônica-U2C1O3T1</t>
  </si>
  <si>
    <t>Tarefa - U2C1O3T1.pdf</t>
  </si>
  <si>
    <t>U2C2O1V1</t>
  </si>
  <si>
    <t>Microeletrônica-U2C2O1V1</t>
  </si>
  <si>
    <t>Microeletrônica-U2C2O1V1-Vídeo.mp4</t>
  </si>
  <si>
    <t>U2C2O1V2</t>
  </si>
  <si>
    <t>Microeletrônica-U2C2O1V2</t>
  </si>
  <si>
    <t>Microeletrônica-U2C2O1V2-Vídeo.mp4</t>
  </si>
  <si>
    <t>U2C2O1V3</t>
  </si>
  <si>
    <t>Microeletrônica-U2C2O1V3</t>
  </si>
  <si>
    <t>Microeletrônica-U2C2O1V3-Vídeo.mp4</t>
  </si>
  <si>
    <t>U2C2O1S1</t>
  </si>
  <si>
    <t>Slide - U2C2O1S1.pptx</t>
  </si>
  <si>
    <t>Slide - U2C2O1S1.pdf</t>
  </si>
  <si>
    <t>U2C2O1S2</t>
  </si>
  <si>
    <t>Slide - U2C2O1S2.pptx</t>
  </si>
  <si>
    <t>Slide - U2C2O1S2.pdf</t>
  </si>
  <si>
    <t>U2C2O1S3</t>
  </si>
  <si>
    <t>Slide - U2C2O1S3.pptx</t>
  </si>
  <si>
    <t>Slide - U2C2O1S3.pdf</t>
  </si>
  <si>
    <t>U2C2O1Q1</t>
  </si>
  <si>
    <t>Microeletrônica-U2C2O1Q1</t>
  </si>
  <si>
    <t>Quiz - U2C2O1Q1.pdf</t>
  </si>
  <si>
    <t>U2C2O1P1</t>
  </si>
  <si>
    <t>Microeletrônica-U2C2O1P1</t>
  </si>
  <si>
    <t>Plano de Aula - U2C2O1P1.pdf</t>
  </si>
  <si>
    <t>U2C2O3V1</t>
  </si>
  <si>
    <t>Microeletrônica-U2C2O3V1-Vídeo.mp4</t>
  </si>
  <si>
    <t>U2C2O3T1</t>
  </si>
  <si>
    <t>Microeletrônica-U2C2O3T1</t>
  </si>
  <si>
    <t>Tarefa - U2C2O3T1.pdf</t>
  </si>
  <si>
    <t>U2C2O1E1</t>
  </si>
  <si>
    <t>Microeletrônica-U2C2O1E1</t>
  </si>
  <si>
    <t>Ebook - U2C2O1E1.pdf</t>
  </si>
  <si>
    <t>U3C1O1V1</t>
  </si>
  <si>
    <t>Microeletrônica-U3C1O1V1</t>
  </si>
  <si>
    <t>Microeletrônica - U3C1O1V1 - Roteiro de Vídeo.mp4</t>
  </si>
  <si>
    <t>U3C1O1V2</t>
  </si>
  <si>
    <t>Microeletrônica-U3C1O1V2</t>
  </si>
  <si>
    <t>Microeletrônica - U3C1O1V2 - Roteiro de Vídeo.mp4</t>
  </si>
  <si>
    <t>U3C1O1V3</t>
  </si>
  <si>
    <t>Microeletrônica-U3C1O1V3</t>
  </si>
  <si>
    <t>Microeletrônica - U3C1O1V3 - Roteiro de Vídeo.mp4</t>
  </si>
  <si>
    <t>U3C1O1V4</t>
  </si>
  <si>
    <t>Microeletrônica-U3C1O1V4</t>
  </si>
  <si>
    <t>Microeletrônica - U3C1O1V4 - Roteiro de Vídeo.mp4</t>
  </si>
  <si>
    <t>U3C1O1V5</t>
  </si>
  <si>
    <t>Microeletrônica-U3C1O1V5</t>
  </si>
  <si>
    <t>Microeletrônica - U3C1O1V5 - Roteiro de Vídeo.mp4</t>
  </si>
  <si>
    <t>U3C1O1V6</t>
  </si>
  <si>
    <t>Microeletrônica-U3C1O1V6</t>
  </si>
  <si>
    <t>Microeletrônica - U3C1O1V6 - Roteiro de Vídeo.mp4</t>
  </si>
  <si>
    <t>U3C1O1S1</t>
  </si>
  <si>
    <t>Microeletrônica-U3C1O1S1</t>
  </si>
  <si>
    <t>Microeletrônica - U3C1O1S1 - Slide.pdf</t>
  </si>
  <si>
    <t>U3C1O1S2</t>
  </si>
  <si>
    <t>Microeletrônica-U3C1O1S2</t>
  </si>
  <si>
    <t>Microeletrônica - U3C1O1S2 - Slide.pdf</t>
  </si>
  <si>
    <t>U3C1O1S3</t>
  </si>
  <si>
    <t>Microeletrônica-U3C1O1S3</t>
  </si>
  <si>
    <t>Microeletrônica - U3C1O1S3 - Slide.pdf</t>
  </si>
  <si>
    <t>U3C1O1S4</t>
  </si>
  <si>
    <t>Microeletrônica-U3C1O1S4</t>
  </si>
  <si>
    <t>Microeletrônica - U3C1O1S4 - Slide.pdf</t>
  </si>
  <si>
    <t>U3C1O1S5</t>
  </si>
  <si>
    <t>Microeletrônica-U3C1O1S5</t>
  </si>
  <si>
    <t>Microeletrônica - U3C1O1S5 - Slide.pdf</t>
  </si>
  <si>
    <t>U3C1O1S6</t>
  </si>
  <si>
    <t>Microeletrônica-U3C1O1S6</t>
  </si>
  <si>
    <t>Microeletrônica - U3C1O1S6 - Slide.pdf</t>
  </si>
  <si>
    <t>U3C1O1Q1</t>
  </si>
  <si>
    <t>Microeletrônica-U3C1O1Q1</t>
  </si>
  <si>
    <t>Microeletrônica - U3C1O1Q1 - Quiz.pdf</t>
  </si>
  <si>
    <t>U3C1O1P1</t>
  </si>
  <si>
    <t>Microeletrônica-U3C1O1P1</t>
  </si>
  <si>
    <t>Microeletrônica - U3C1O1P1 - Plano de Aula.pdf</t>
  </si>
  <si>
    <t>U3C1O3V1</t>
  </si>
  <si>
    <t>Microeletrônica - U3C1O3V1 - Vídeo.mp4</t>
  </si>
  <si>
    <t>U3C1O3T1</t>
  </si>
  <si>
    <t>Microeletrônica-U3C1O3T1</t>
  </si>
  <si>
    <t>Microeletrônica - U3C1O3T1 - Tarefa.pdf</t>
  </si>
  <si>
    <t>U3C1O1E1</t>
  </si>
  <si>
    <t>Microeletrônica-U3C1O1E1</t>
  </si>
  <si>
    <t>Microeletrônica - U3C1O1E1 - E-book.pdf</t>
  </si>
  <si>
    <t>U3C2O1V1</t>
  </si>
  <si>
    <t>Microeletrônica-U3C2O1V1</t>
  </si>
  <si>
    <t>Microeletrônica - U3C2O1V1 - Roteiro de Vídeo.mp4</t>
  </si>
  <si>
    <t>U3C2O1V2</t>
  </si>
  <si>
    <t>Microeletrônica-U3C2O1V2</t>
  </si>
  <si>
    <t>Microeletrônica - U3C2O1V2 - Roteiro de Vídeo.mp4</t>
  </si>
  <si>
    <t>U3C2O1V3</t>
  </si>
  <si>
    <t>Microeletrônica-U3C2O1V3</t>
  </si>
  <si>
    <t>Microeletrônica - U3C2O1V3 - Roteiro de Vídeo.mp4</t>
  </si>
  <si>
    <t>U3C2O1V4</t>
  </si>
  <si>
    <t>Microeletrônica-U3C2O1V4</t>
  </si>
  <si>
    <t>Microeletrônica - U3C2O1V4 - Roteiro de Vídeo.mp4</t>
  </si>
  <si>
    <t>U3C2O1V5</t>
  </si>
  <si>
    <t>Microeletrônica-U3C2O1V5</t>
  </si>
  <si>
    <t>Microeletrônica - U3C2O1V5 - Roteiro de Vídeo.mp4</t>
  </si>
  <si>
    <t>U3C2O1S1</t>
  </si>
  <si>
    <t>Microeletrônica-U3C2O1S1</t>
  </si>
  <si>
    <t>Microeletrônica - U3C2O1S1 - Slide.pdf</t>
  </si>
  <si>
    <t>U3C2O1S2</t>
  </si>
  <si>
    <t>Microeletrônica-U3C2O1S2</t>
  </si>
  <si>
    <t>Microeletrônica - U3C2O1S2 - Slide.pdf</t>
  </si>
  <si>
    <t>U3C2O1S3</t>
  </si>
  <si>
    <t>Microeletrônica-U3C2O1S3</t>
  </si>
  <si>
    <t>Microeletrônica - U3C2O1S3 - Slide.pdf</t>
  </si>
  <si>
    <t>U3C2O1S4</t>
  </si>
  <si>
    <t>Microeletrônica-U3C2O1S4</t>
  </si>
  <si>
    <t>Microeletrônica - U3C2O1S4 - Slide.pdf</t>
  </si>
  <si>
    <t>U3C2O1S5</t>
  </si>
  <si>
    <t>Microeletrônica-U3C2O1S5</t>
  </si>
  <si>
    <t>Microeletrônica - U3C2O1S5 - Slide.pdf</t>
  </si>
  <si>
    <t>U3C2O1Q1</t>
  </si>
  <si>
    <t>Microeletrônica-U3C2O1Q1</t>
  </si>
  <si>
    <t>Microeletrônica - U3C2O1Q1 - Quiz.pdf</t>
  </si>
  <si>
    <t>U3C2O1P1</t>
  </si>
  <si>
    <t>Microeletrônica-U3C2O1P1</t>
  </si>
  <si>
    <t>Microeletrônica - U3C2O1P1 - Plano de Aula.pdf</t>
  </si>
  <si>
    <t>U3C2O3V1</t>
  </si>
  <si>
    <t>Microeletrônica - U3C2O3V1 - Vídeo.mp4</t>
  </si>
  <si>
    <t>U3C2O3T1</t>
  </si>
  <si>
    <t>Microeletrônica-U3C2O3T1</t>
  </si>
  <si>
    <t>Microeletrônica - U3C2O3T1 - Tarefa.pdf</t>
  </si>
  <si>
    <t>U3C2O1E1</t>
  </si>
  <si>
    <t>Microeletrônica-U3C2O1E1</t>
  </si>
  <si>
    <t>Microeletrônica - U3C2O1E1 - Ebook.pdf</t>
  </si>
  <si>
    <t>U3C3O1V1</t>
  </si>
  <si>
    <t>Microeletrônica-U3C3O1V1</t>
  </si>
  <si>
    <t>Microeletrônica - U3C3O1V1 - Roteiro de Vídeo.mp4</t>
  </si>
  <si>
    <t>U3C3O1V2</t>
  </si>
  <si>
    <t>Microeletrônica-U3C3O1V2</t>
  </si>
  <si>
    <t>Microeletrônica - U3C3O1V2 - Roteiro de Vídeo.mp4</t>
  </si>
  <si>
    <t>U3C3O1V3</t>
  </si>
  <si>
    <t>Microeletrônica-U3C3O1V3</t>
  </si>
  <si>
    <t>Microeletrônica - U3C3O1V3 - Roteiro de Vídeo.mp4</t>
  </si>
  <si>
    <t>U3C3O1S1</t>
  </si>
  <si>
    <t>Microeletrônica-U3C3O1S1</t>
  </si>
  <si>
    <t>Microeletrônica - U3C3O1S1 - Slide.pdf</t>
  </si>
  <si>
    <t>U3C3O1S2</t>
  </si>
  <si>
    <t>Microeletrônica-U3C3O1S2</t>
  </si>
  <si>
    <t>Microeletrônica - U3C3O1S2 - Slide.pdf</t>
  </si>
  <si>
    <t>U3C3O1S3</t>
  </si>
  <si>
    <t>Microeletrônica-U3C3O1S3</t>
  </si>
  <si>
    <t>Microeletrônica - U3C3O1S3 - Slide.pdf</t>
  </si>
  <si>
    <t>U3C3O1Q1</t>
  </si>
  <si>
    <t>Microeletrônica-U3C3O1Q1</t>
  </si>
  <si>
    <t>Microeletrônica - U3C3O1Q1 - Quiz.pdf</t>
  </si>
  <si>
    <t>U3C3O1P1</t>
  </si>
  <si>
    <t>Microeletrônica-U3C3O1P1</t>
  </si>
  <si>
    <t>Microeletrônica - U3C3O1P1 - Plano de Aula.pdf</t>
  </si>
  <si>
    <t>U3C3O3V1</t>
  </si>
  <si>
    <t>Microeletrônica - U3C3O3V1 - Vídeo.mp4</t>
  </si>
  <si>
    <t>U3C3O3T1</t>
  </si>
  <si>
    <t>Microeletrônica-U3C3O3T1</t>
  </si>
  <si>
    <t>Microeletrônica - U3C3O3T1 - Tarefa.pdf</t>
  </si>
  <si>
    <t>U3C3O1E1</t>
  </si>
  <si>
    <t>Microeletrônica-U3C3O1E1</t>
  </si>
  <si>
    <t>Microeletrônica - U3C3O1E1 - Ebook.pdf</t>
  </si>
  <si>
    <t>U4C1O1V1</t>
  </si>
  <si>
    <t>Microeletrônica-U4C1O1V1</t>
  </si>
  <si>
    <t>italo.marques@irede.org.br</t>
  </si>
  <si>
    <t>Microeletrônica-U4C1O1V1-Vídeo.mp4</t>
  </si>
  <si>
    <t>U4C1O1V2</t>
  </si>
  <si>
    <t>Microeletrônica-U4C1O1V2</t>
  </si>
  <si>
    <t>Microeletrônica-U4C1O1V2-Vídeo.mp4</t>
  </si>
  <si>
    <t>U4C1O1V3</t>
  </si>
  <si>
    <t>Microeletrônica-U4C1O1V3</t>
  </si>
  <si>
    <t>Microeletrônica-U4C1O1V3-Vídeo.mp4</t>
  </si>
  <si>
    <t>U4C1O1S1</t>
  </si>
  <si>
    <t>Microeletrônica-U4C1O1S1</t>
  </si>
  <si>
    <t>andressa.alves@irede.org.br</t>
  </si>
  <si>
    <t>Slide - U4C1O1S1.pdf</t>
  </si>
  <si>
    <t>U4C1O1S2</t>
  </si>
  <si>
    <t>Microeletrônica-U4C1O1S2</t>
  </si>
  <si>
    <t>Slide - U4C1O1S2.pdf</t>
  </si>
  <si>
    <t>U4C1O1Q1</t>
  </si>
  <si>
    <t>Microeletrônica-U4C1O1Q1</t>
  </si>
  <si>
    <t>Quiz - U4C1O1Q1.pdf</t>
  </si>
  <si>
    <t>U4C1O1P1</t>
  </si>
  <si>
    <t>Microeletrônica-U4C1O1P1</t>
  </si>
  <si>
    <t>Plano de Aula - U4C1O1P1.pdf</t>
  </si>
  <si>
    <t>U4C1O3V1</t>
  </si>
  <si>
    <t>Microeletrônica-U4C1O3V1-Vídeo.mp4</t>
  </si>
  <si>
    <t>U4C1O3T1</t>
  </si>
  <si>
    <t>Microeletrônica-U4C1O3T1</t>
  </si>
  <si>
    <t>Tarefa - U4C1O3T1.pdf</t>
  </si>
  <si>
    <t>U4C1O1E1</t>
  </si>
  <si>
    <t>Microeletrônica-U4C1O1E1</t>
  </si>
  <si>
    <t>E-book - U4C1O1E1.pdf</t>
  </si>
  <si>
    <t>U4C2O1V1</t>
  </si>
  <si>
    <t>Microeletrônica-U4C2O1V1</t>
  </si>
  <si>
    <t>Microeletrônica-U4C2O1V1-Vídeo.mp4</t>
  </si>
  <si>
    <t>U4C2O1V2</t>
  </si>
  <si>
    <t>Microeletrônica-U4C2O1V2</t>
  </si>
  <si>
    <t>Microeletrônica-U4C2O1V2-Vídeo.mp4</t>
  </si>
  <si>
    <t>U4C2O1V3</t>
  </si>
  <si>
    <t>Microeletrônica-U4C2O1V3</t>
  </si>
  <si>
    <t>Atrasado</t>
  </si>
  <si>
    <t>Microeletrônica-U4C2O1V3-Vídeo.mp4</t>
  </si>
  <si>
    <t>U4C2O1S1</t>
  </si>
  <si>
    <t>Microeletrônica-U4C2O1S1</t>
  </si>
  <si>
    <t>Slide - U4C2O1S1.pdf</t>
  </si>
  <si>
    <t>U4C2O1S2</t>
  </si>
  <si>
    <t>Microeletrônica-U4C2O1S2</t>
  </si>
  <si>
    <t>Slide - U4C2O1S2.pdf</t>
  </si>
  <si>
    <t>U4C2O1S3</t>
  </si>
  <si>
    <t>Microeletrônica-U4C2O1S3</t>
  </si>
  <si>
    <t>Slide - U4C2O1S3.pdf</t>
  </si>
  <si>
    <t>U4C2O1Q1</t>
  </si>
  <si>
    <t>Microeletrônica-U4C2O1Q1</t>
  </si>
  <si>
    <t>Quiz - U4C2O1Q1.pdf</t>
  </si>
  <si>
    <t>U4C2O1P1</t>
  </si>
  <si>
    <t>Microeletrônica-U4C2O1P1</t>
  </si>
  <si>
    <t>Plano de Aula - U4C2O1P1.pdf</t>
  </si>
  <si>
    <t>U4C2O3V1</t>
  </si>
  <si>
    <t>Microeletrônica-U4C2O3V1-Vídeo.mp4</t>
  </si>
  <si>
    <t>U4C2O3T1</t>
  </si>
  <si>
    <t>Microeletrônica-U4C2O3T1</t>
  </si>
  <si>
    <t>Tarefa - U4C2O3T1.pdf</t>
  </si>
  <si>
    <t>U4C2O3E1</t>
  </si>
  <si>
    <t>Microeletrônica-U4C2O3E1</t>
  </si>
  <si>
    <t>E-book - U4C2O3E1.pdf</t>
  </si>
  <si>
    <t>U4C3O1V1</t>
  </si>
  <si>
    <t>Microeletrônica-U4C3O1V1</t>
  </si>
  <si>
    <t>Microeletrônica-U4C3O1V1-Vídeo.mp4</t>
  </si>
  <si>
    <t>U4C3O1V2</t>
  </si>
  <si>
    <t>Microeletrônica-U4C3O1V2</t>
  </si>
  <si>
    <t>Microeletrônica-U4C3O1V2-Vídeo.mp4</t>
  </si>
  <si>
    <t>U4C3O1V3</t>
  </si>
  <si>
    <t>Microeletrônica-U4C3O1V3</t>
  </si>
  <si>
    <t>Microeletrônica-U4C3O1V3-Vídeo.mp4</t>
  </si>
  <si>
    <t>U4C3O1S1</t>
  </si>
  <si>
    <t>Microeletrônica-U4C3O1S1</t>
  </si>
  <si>
    <t>Slide - U4C3O1S1.pdf</t>
  </si>
  <si>
    <t>U4C3O1S2</t>
  </si>
  <si>
    <t>Microeletrônica-U4C3O1S2</t>
  </si>
  <si>
    <t>Slide - U4C3O1S2.pdf</t>
  </si>
  <si>
    <t>U4C3O1S3</t>
  </si>
  <si>
    <t>Microeletrônica-U4C3O1S3</t>
  </si>
  <si>
    <t>Slide - U4C3O1S3.pdf</t>
  </si>
  <si>
    <t>U4C3O1Q1</t>
  </si>
  <si>
    <t>Microeletrônica-U4C3O1Q1</t>
  </si>
  <si>
    <t>Quiz - U4C3O1Q1.pdf</t>
  </si>
  <si>
    <t>U4C3O1P1</t>
  </si>
  <si>
    <t>Microeletrônica-U4C3O1P1</t>
  </si>
  <si>
    <t>Plano de Aula - U4C3O1P1.pdf</t>
  </si>
  <si>
    <t>U4C3O3V1</t>
  </si>
  <si>
    <t>Microeletrônica-U4C3O3V1-Vídeo.mp4</t>
  </si>
  <si>
    <t>U4C3O3T1</t>
  </si>
  <si>
    <t>Microeletrônica-U4C3O3T1</t>
  </si>
  <si>
    <t>Tarefa - U4C3O3T1.pdf</t>
  </si>
  <si>
    <t>U4C3O1E1</t>
  </si>
  <si>
    <t>Microeletrônica-U4C3O1E1</t>
  </si>
  <si>
    <t>E-book - U4C3O1E1.pdf</t>
  </si>
  <si>
    <t>U4C4O1V1</t>
  </si>
  <si>
    <t>Microeletrônica-U4C4O1V1</t>
  </si>
  <si>
    <t>Microeletrônica-U4C4O1V1-Vídeo.mp4</t>
  </si>
  <si>
    <t>U4C4O1V2</t>
  </si>
  <si>
    <t>Microeletrônica-U4C4O1V2</t>
  </si>
  <si>
    <t>Microeletrônica-U4C4O1V2-Vídeo.mp4</t>
  </si>
  <si>
    <t>U4C4O1S1</t>
  </si>
  <si>
    <t>Microeletrônica-U4C4O1S1</t>
  </si>
  <si>
    <t>Slide - U4C4O1S1.pdf</t>
  </si>
  <si>
    <t>U4C4O1S2</t>
  </si>
  <si>
    <t>Microeletrônica-U4C4O1S2</t>
  </si>
  <si>
    <t>Slide - U4C4O1S2.pdf</t>
  </si>
  <si>
    <t>U4C4O1Q1</t>
  </si>
  <si>
    <t>Microeletrônica-U4C4O1Q1</t>
  </si>
  <si>
    <t>Quiz - U4C4O1Q1.pdf</t>
  </si>
  <si>
    <t>U4C4O1P1</t>
  </si>
  <si>
    <t>Microeletrônica-U4C4O1P1</t>
  </si>
  <si>
    <t>Plano de Aula - U4C4O1P1.pdf</t>
  </si>
  <si>
    <t>U4C4O3V1</t>
  </si>
  <si>
    <t>Microeletrônica-U4C4O3V1-Vídeo.mp4</t>
  </si>
  <si>
    <t>U4C4O3T1</t>
  </si>
  <si>
    <t>Microeletrônica-U4C4O3T1</t>
  </si>
  <si>
    <t>Tarefa - U4C4O3T1.pdf</t>
  </si>
  <si>
    <t>U4C4O1E1</t>
  </si>
  <si>
    <t>Microeletrônica-U4C4O1E1</t>
  </si>
  <si>
    <t>E-book - U4C4O1E1.pdf</t>
  </si>
  <si>
    <t>U5C1O1V1</t>
  </si>
  <si>
    <t>Microeletrônica-U5C1O1V1</t>
  </si>
  <si>
    <t>Alexandre</t>
  </si>
  <si>
    <t>Ricardo</t>
  </si>
  <si>
    <t>Weslley</t>
  </si>
  <si>
    <t>Italo Marques</t>
  </si>
  <si>
    <t>Microeletrônica - U5C1O1V1 - Roteiro de Vídeo.mp4</t>
  </si>
  <si>
    <t>U5C1O1V2</t>
  </si>
  <si>
    <t>Microeletrônica-U5C1O1V2</t>
  </si>
  <si>
    <t>Microeletrônica - U5C1O1V2 - Roteiro de Vídeo.mp4</t>
  </si>
  <si>
    <t>U5C1O1S1</t>
  </si>
  <si>
    <t>Microeletrônica-U5C1O1S1</t>
  </si>
  <si>
    <t>Slide - U5C1O1S1.pdf</t>
  </si>
  <si>
    <t>U5C1O1S2</t>
  </si>
  <si>
    <t>Microeletrônica-U5C1O1S2</t>
  </si>
  <si>
    <t>Slide - U5C1O1S2.pdf</t>
  </si>
  <si>
    <t>U5C1O1Q1</t>
  </si>
  <si>
    <t>Microeletrônica-U5C1O1Q1</t>
  </si>
  <si>
    <t>Microeletronica - U5C1O1Q1 - Quiz.pdf</t>
  </si>
  <si>
    <t>U5C1O1P1</t>
  </si>
  <si>
    <t>Microeletrônica-U5C1O1P1</t>
  </si>
  <si>
    <t>Microeletronica - U5C1O1P1 - Plano de Aula.pdf</t>
  </si>
  <si>
    <t>U5C1O3V1</t>
  </si>
  <si>
    <t>Microeletrônica - U5C1O3V1 - Vídeo.mp4</t>
  </si>
  <si>
    <t>U5C1O3T1</t>
  </si>
  <si>
    <t>Microeletrônica-U5C1O3T1</t>
  </si>
  <si>
    <t>Microeletronica - U5C1O3T1 - Tarefa.pdf</t>
  </si>
  <si>
    <t>U5C1O1E1</t>
  </si>
  <si>
    <t>Microeletronica-U5C1O1E1</t>
  </si>
  <si>
    <t>Microeletrônica - U5C1O1E1 - Ebook.pdf</t>
  </si>
  <si>
    <t>U5C2O1V1</t>
  </si>
  <si>
    <t>Microeletrônica-U5C2O1V1</t>
  </si>
  <si>
    <t>Não Há</t>
  </si>
  <si>
    <t>Microeletrônica - U5C2O1V1 - Roteiro de Vídeo.mp4</t>
  </si>
  <si>
    <t>U5C2O1V2</t>
  </si>
  <si>
    <t>Microeletrônica-U5C2O1V2</t>
  </si>
  <si>
    <t>Microeletrônica - U5C2O1V2 - Roteiro de Vídeo.mp4</t>
  </si>
  <si>
    <t>U5C2O1S1</t>
  </si>
  <si>
    <t>Microeletrônica-U5C2O1S1</t>
  </si>
  <si>
    <t>Microeletrônica - U5C2O1S1 - Slide.pdf</t>
  </si>
  <si>
    <t>U5C2O1S2</t>
  </si>
  <si>
    <t>Microeletrônica-U5C2O1S2</t>
  </si>
  <si>
    <t>Microeletrônica - U5C2O1S2 - Slide.pdf</t>
  </si>
  <si>
    <t>U5C2O1Q1</t>
  </si>
  <si>
    <t>Microeletrônica-U5C2O1Q1</t>
  </si>
  <si>
    <t>Microeletronica - U5C2O1Q1 - Quiz.pdf</t>
  </si>
  <si>
    <t>U5C2O1P1</t>
  </si>
  <si>
    <t>Microeletrônica-U5C2O1P1</t>
  </si>
  <si>
    <t>Microeletronica - U5C2O1P1 - Plano de Aula.pdf</t>
  </si>
  <si>
    <t>U5C2O3V1</t>
  </si>
  <si>
    <t>Microeletrônica - U5C2O3V1 - Vídeo.mp4</t>
  </si>
  <si>
    <t>U5C2O3T1</t>
  </si>
  <si>
    <t>Microeletrônica-U5C2O3T1</t>
  </si>
  <si>
    <t>Microeletronica - U5C3O3T1 - Tarefa.pdf</t>
  </si>
  <si>
    <t>U5C2O1E1</t>
  </si>
  <si>
    <t>Microeletrônica-U5C2O1E1</t>
  </si>
  <si>
    <t>Microeletrônica - U5C2O1E1 - E-book.pdf</t>
  </si>
  <si>
    <t>U5C3O1V1</t>
  </si>
  <si>
    <t>Microeletrônica-U5C3O1V1</t>
  </si>
  <si>
    <t>Microeletrônica - U5C3O1V1 - Roteiro de Vídeo.mp4</t>
  </si>
  <si>
    <t>U5C3O1S1</t>
  </si>
  <si>
    <t>Microeletrônica-U5C3O1S1</t>
  </si>
  <si>
    <t>Microeletrônica - U5C3O1S1 - Slide.pdf</t>
  </si>
  <si>
    <t>U5C3O1Q1</t>
  </si>
  <si>
    <t>Microeletrônica-U5C3O1Q1</t>
  </si>
  <si>
    <t>Microeletronica - U5C3O1Q1 - Quiz.pdf</t>
  </si>
  <si>
    <t>U5C3O1P1</t>
  </si>
  <si>
    <t>Microeletrônica-U5C3O1P1</t>
  </si>
  <si>
    <t>Microeletronica - U5C3O1P1 - Plano de Aula.pdf</t>
  </si>
  <si>
    <t>U5C3O3V1</t>
  </si>
  <si>
    <t>Microeletrônica - U5C3O3V1 - Vídeo.mp4</t>
  </si>
  <si>
    <t>U5C3O3T1</t>
  </si>
  <si>
    <t>Microeletrônica-U5C3O3T1</t>
  </si>
  <si>
    <t>Microeletronica - U5C2O3T1 - Tarefa.pdf</t>
  </si>
  <si>
    <t>U5C3O1E1</t>
  </si>
  <si>
    <t>Microeletrônica-U5C3O1E1</t>
  </si>
  <si>
    <t>Microeletrônica - U5C3O1E1 - Ebook.pdf</t>
  </si>
  <si>
    <t>U6C1O1V1</t>
  </si>
  <si>
    <t>Microeletrônica-U6C1O1V1</t>
  </si>
  <si>
    <t xml:space="preserve"> Microeletronica - U6C1O1V1 - Roteiro de vídeo</t>
  </si>
  <si>
    <t>U6C1O1V2</t>
  </si>
  <si>
    <t>Microeletrônica-U6C1O1V2</t>
  </si>
  <si>
    <t xml:space="preserve"> Microeletrônica - U6C1O1V2 - Roteiro de vídeo</t>
  </si>
  <si>
    <t>U6C1O1V3</t>
  </si>
  <si>
    <t>Microeletrônica-U6C1O1V3</t>
  </si>
  <si>
    <t xml:space="preserve"> Microeletronica - U6C1O1V3 - Roteiro de vídeo</t>
  </si>
  <si>
    <t>U6C1O1V4</t>
  </si>
  <si>
    <t>Microeletrônica-U6C1O1V4</t>
  </si>
  <si>
    <t xml:space="preserve"> Microeletronica - U6C1O1V4 - Roteiro de vídeo</t>
  </si>
  <si>
    <t>U6C1O1S1</t>
  </si>
  <si>
    <t>Microeletrônica-U6C1O1S1</t>
  </si>
  <si>
    <t>Microeletrônica - U6C1O1S1 - Slide.pdf</t>
  </si>
  <si>
    <t>U6C1O1S2</t>
  </si>
  <si>
    <t>Microeletrônica-U6C1O1S2</t>
  </si>
  <si>
    <t>Em Andamento</t>
  </si>
  <si>
    <t>Microeletrônica - U6C1O1S2 - Slide.pdf</t>
  </si>
  <si>
    <t>U6C1O1S3</t>
  </si>
  <si>
    <t>Microeletrônica-U6C1O1S3</t>
  </si>
  <si>
    <t>Microeletrônica - U6C1O1S3 - Slide.pdf</t>
  </si>
  <si>
    <t>U6C1O1S4</t>
  </si>
  <si>
    <t>Microeletrônica-U6C1O1S4</t>
  </si>
  <si>
    <t>Microeletrônica - U6C1O1S4 - Slide.pdf</t>
  </si>
  <si>
    <t>U6C1O1Q1</t>
  </si>
  <si>
    <t>Microeletrônica-U6C1O1Q1</t>
  </si>
  <si>
    <t>Microeletronica - U6C1O1Q1 - Quiz.pdf</t>
  </si>
  <si>
    <t>U6C1O1P1</t>
  </si>
  <si>
    <t>Microeletrônica-U6C1O1P1</t>
  </si>
  <si>
    <t>Microeletronica - U6C1O1P1 - Plano de Aula.pdf</t>
  </si>
  <si>
    <t>U6C1O3V1</t>
  </si>
  <si>
    <t xml:space="preserve"> Microeletronica - U6C1O3V1 - Vídeo</t>
  </si>
  <si>
    <t>U6C1O3T1</t>
  </si>
  <si>
    <t>Microeletrônica-U6C1O3T1</t>
  </si>
  <si>
    <t>Microeletronica - U6C1O3T1 - Tarefa.pdf</t>
  </si>
  <si>
    <t>U6C1O1E1</t>
  </si>
  <si>
    <t>Microeletrônica-U6C1O1E1</t>
  </si>
  <si>
    <t>Microeletrônica - U6C1O1E1 - Ebook.pdf</t>
  </si>
  <si>
    <t>U6C2O1V1</t>
  </si>
  <si>
    <t>Microeletrônica-U6C2O1V1</t>
  </si>
  <si>
    <t xml:space="preserve"> Microeletronica - U6C2O1V1 - Roteiro de vídeo</t>
  </si>
  <si>
    <t>U6C2O1V2</t>
  </si>
  <si>
    <t>Microeletrônica-U6C2O1V2</t>
  </si>
  <si>
    <t xml:space="preserve"> Microeletronica - U6C2O1V2 - Roteiro de vídeo</t>
  </si>
  <si>
    <t>U6C2O1V3</t>
  </si>
  <si>
    <t>Microeletrônica-U6C2O1V3</t>
  </si>
  <si>
    <t xml:space="preserve"> Microeletronica - U6C2O1V3 - Roteiro de vídeo</t>
  </si>
  <si>
    <t>U6C2O1S1</t>
  </si>
  <si>
    <t>Microeletrônica-U6C2O1S1</t>
  </si>
  <si>
    <t>Microeletrônica - U6C2O1S1 - Slide.pdf</t>
  </si>
  <si>
    <t>U6C2O1S2</t>
  </si>
  <si>
    <t>Microeletrônica-U6C2O1S2</t>
  </si>
  <si>
    <t>Microeletrônica - U6C2O1S2 - Slide.pdf</t>
  </si>
  <si>
    <t>U6C2O1S3</t>
  </si>
  <si>
    <t>Microeletrônica-U6C2O1S3</t>
  </si>
  <si>
    <t>Microeletrônica - U6C2O1S3 - Slide.pdf</t>
  </si>
  <si>
    <t>U6C2O1Q1</t>
  </si>
  <si>
    <t>Microeletrônica-U6C2O1Q1</t>
  </si>
  <si>
    <t>Microeletronica - U6C2O1Q1 - Quiz.pdf</t>
  </si>
  <si>
    <t>U6C2O1P1</t>
  </si>
  <si>
    <t>Microeletrônica-U6C2O1P1</t>
  </si>
  <si>
    <t>Microeletronica - U6C2O1P1 - Plano de Aula.pdf</t>
  </si>
  <si>
    <t>U6C2O3V1</t>
  </si>
  <si>
    <t xml:space="preserve"> Microeletronica - U6C2O3V1 - Vídeo</t>
  </si>
  <si>
    <t>U6C2O3T1</t>
  </si>
  <si>
    <t>Microeletrônica-U6C2O3T1</t>
  </si>
  <si>
    <t>Microeletronica - U6C2O3T1 - Tarefa.pdf</t>
  </si>
  <si>
    <t>U6C2O3E1</t>
  </si>
  <si>
    <t>Microeletrônica-U6C2O3E1</t>
  </si>
  <si>
    <t>Microeletrônica - U6C2O3E1 - E-book.pdf</t>
  </si>
  <si>
    <t>U6C3O1V1</t>
  </si>
  <si>
    <t>Microeletrônica-U6C3O1V1</t>
  </si>
  <si>
    <t xml:space="preserve"> Microeletrônica - U6C3O1V1 - Roteiro de vídeo</t>
  </si>
  <si>
    <t>U6C3O1V2</t>
  </si>
  <si>
    <t>Microeletrônica-U6C3O1V2</t>
  </si>
  <si>
    <t xml:space="preserve"> Microeletrônica - U6C3O1V2 - Roteiro de vídeo</t>
  </si>
  <si>
    <t>U6C3O1V3</t>
  </si>
  <si>
    <t>Microeletrônica-U6C3O1V3</t>
  </si>
  <si>
    <t xml:space="preserve"> Microeletrônica - U6C3O1V3 - Roteiro de vídeo</t>
  </si>
  <si>
    <t>U6C3O1S1</t>
  </si>
  <si>
    <t>Microeletrônica-U6C3O1S1</t>
  </si>
  <si>
    <t>Microeletrônica - U6C3O1S1 - Slide.pdf</t>
  </si>
  <si>
    <t>U6C3O1S2</t>
  </si>
  <si>
    <t>Microeletrônica-U6C3O1S2</t>
  </si>
  <si>
    <t>Microeletrônica - U6C3O1S2 - Slide.pdf</t>
  </si>
  <si>
    <t>U6C3O1S3</t>
  </si>
  <si>
    <t>Microeletrônica-U6C3O1S3</t>
  </si>
  <si>
    <t>Microeletrônica - U6C3O1S3 - Slide.pdf</t>
  </si>
  <si>
    <t>U6C3O1Q1</t>
  </si>
  <si>
    <t>Microeletrônica-U6C3O1Q1</t>
  </si>
  <si>
    <t>Microeletronica - U6C3O1Q1 - Quiz.pdf</t>
  </si>
  <si>
    <t>U6C3O1P1</t>
  </si>
  <si>
    <t>Microeletrônica-U6C3O1P1</t>
  </si>
  <si>
    <t>Microeletronica - U6C3O1P1 - Plano de Aula.pdf</t>
  </si>
  <si>
    <t>U6C3O3V1</t>
  </si>
  <si>
    <t xml:space="preserve"> Microeletronica - U6C3O3V1 - Vídeo</t>
  </si>
  <si>
    <t>U6C3O3T1</t>
  </si>
  <si>
    <t>Microeletrônica-U6C3O3T1</t>
  </si>
  <si>
    <t>Microeletronica - U6C3O3T1 - Tarefa.pdf</t>
  </si>
  <si>
    <t>U6C3O1E1</t>
  </si>
  <si>
    <t>Microeletrônica-U6C3O1E1</t>
  </si>
  <si>
    <t>Microeletrônica - U6C3O3E1 - Ebook.pdf</t>
  </si>
  <si>
    <t>U6C4O1V1</t>
  </si>
  <si>
    <t>Microeletrônica-U6C4O1V1</t>
  </si>
  <si>
    <t>Microeletrônica - U6C4O1V1 - Roteiro de vídeo</t>
  </si>
  <si>
    <t>U6C4O1V2</t>
  </si>
  <si>
    <t>Microeletrônica-U6C4O1V2</t>
  </si>
  <si>
    <t xml:space="preserve"> Microeletrônica -U6C4O1V2 - Roteiro de vídeo</t>
  </si>
  <si>
    <t>U6C4O1V3</t>
  </si>
  <si>
    <t>Microeletrônica-U6C4O1V3</t>
  </si>
  <si>
    <t xml:space="preserve"> Microeletronica - U6C4O1V3 - Roteiro de vídeo</t>
  </si>
  <si>
    <t>U6C4O1S1</t>
  </si>
  <si>
    <t>Microeletrônica-U6C4O1S1</t>
  </si>
  <si>
    <t>Microeletrônica - U6C4O1S1 - Slide.pdf</t>
  </si>
  <si>
    <t>U6C4O1S2</t>
  </si>
  <si>
    <t>Microeletrônica-U6C4O1S2</t>
  </si>
  <si>
    <t>Microeletrônica - U6C4O1S2 - Slide.pdf</t>
  </si>
  <si>
    <t>U6C4O1S3</t>
  </si>
  <si>
    <t>Microeletrônica-U6C4O1S3</t>
  </si>
  <si>
    <t>Microeletrônica - U6C4O1S3 - Slide.pdf</t>
  </si>
  <si>
    <t>U6C4O1Q1</t>
  </si>
  <si>
    <t>Microeletrônica-U6C4O1Q1</t>
  </si>
  <si>
    <t>Microeletronica - U6C4O1Q1 - Quiz.pdf</t>
  </si>
  <si>
    <t>U6C4O1P1</t>
  </si>
  <si>
    <t>Microeletrônica-U6C4O1P1</t>
  </si>
  <si>
    <t>Microeletronica - U6C4O1P1 - Plano de Aula.pdf</t>
  </si>
  <si>
    <t>U6C4O1E1</t>
  </si>
  <si>
    <t>Microeletrônica-U6C4O1E1</t>
  </si>
  <si>
    <t>Microeletrônica - U6C4O1E1 - Ebook.pdf</t>
  </si>
  <si>
    <t>U7C1O1V1</t>
  </si>
  <si>
    <t>Microeletrônica-U7C1O1V1</t>
  </si>
  <si>
    <t>Microeletrônica - U7C1O1V1 - Roteiro de Vídeo.mp4</t>
  </si>
  <si>
    <t>U7C1O1V2</t>
  </si>
  <si>
    <t>Microeletrônica-U7C1O1V2</t>
  </si>
  <si>
    <t>Microeletrônica - U7C1O1V2 - Roteiro de Vídeo.mp4</t>
  </si>
  <si>
    <t>U7C1O1V3</t>
  </si>
  <si>
    <t>Microeletrônica-U7C1O1V3</t>
  </si>
  <si>
    <t>Microeletrônica - U7C1O1V3 - Roteiro de Vídeo.mp4</t>
  </si>
  <si>
    <t>U7C1O1V4</t>
  </si>
  <si>
    <t>Microeletrônica-U7C1O1V4</t>
  </si>
  <si>
    <t>Microeletrônica - U7C1O1V4 - Roteiro de Vídeo.mp4</t>
  </si>
  <si>
    <t>U7C1O1V5</t>
  </si>
  <si>
    <t>Microeletrônica-U7C1O1V5</t>
  </si>
  <si>
    <t>Microeletrônica - U7C1O1V5 - Roteiro de Vídeo.mp4</t>
  </si>
  <si>
    <t>U7C1O1V6</t>
  </si>
  <si>
    <t>Microeletrônica-U7C1O1V6</t>
  </si>
  <si>
    <t>Microeletrônica - U7C1O1V6 - Roteiro de Vídeo.mp4</t>
  </si>
  <si>
    <t>U7C1O1S1</t>
  </si>
  <si>
    <t>U7C1O1S1.pptx</t>
  </si>
  <si>
    <t>Slide - U7C1O1S1.pdf</t>
  </si>
  <si>
    <t>U7C1O1S2</t>
  </si>
  <si>
    <t>U7C1O1S2.pptx</t>
  </si>
  <si>
    <t>Slide - U7C1O1S2.pdf</t>
  </si>
  <si>
    <t>U7C1O1S3</t>
  </si>
  <si>
    <t>U7C1O1S3.pptx</t>
  </si>
  <si>
    <t>Slide - U7C1O1S3.pdf</t>
  </si>
  <si>
    <t>U7C1O1S4</t>
  </si>
  <si>
    <t>U7C1O1S4.pptx</t>
  </si>
  <si>
    <t>Slide - U7C1O1S4.pdf</t>
  </si>
  <si>
    <t>U7C1O1S5</t>
  </si>
  <si>
    <t>U7C1O1S5.pptx</t>
  </si>
  <si>
    <t>Slide - U7C1O1S5.pdf</t>
  </si>
  <si>
    <t>U7C1O1S6</t>
  </si>
  <si>
    <t>U7C1O1S6.pptx</t>
  </si>
  <si>
    <t>Slide - U7C1O1S6.pdf</t>
  </si>
  <si>
    <t>U7C1O1Q1</t>
  </si>
  <si>
    <t>Microeletrônica-U7C1O1Q1</t>
  </si>
  <si>
    <t>Microeletronica - U7C1O1Q1 - Quiz.pdf</t>
  </si>
  <si>
    <t>U7C1O1P1</t>
  </si>
  <si>
    <t>Microeletrônica-U7C1O1P1</t>
  </si>
  <si>
    <t>Microeletronica - U7C1O1P1 - Plano de Aula.pdf</t>
  </si>
  <si>
    <t>U7C1O1E1</t>
  </si>
  <si>
    <t>Microeletrônica - U7C1O1E1 - Ebook.pdf</t>
  </si>
  <si>
    <t>U7C2O1V1</t>
  </si>
  <si>
    <t>Microeletrônica-U7C2O1V1</t>
  </si>
  <si>
    <t>Microeletrônica - U7C2O1V1 - Roteiro de Vídeo.mp4</t>
  </si>
  <si>
    <t>U7C2O1V2</t>
  </si>
  <si>
    <t>Microeletrônica-U7C2O1V2</t>
  </si>
  <si>
    <t>Microeletrônica - U7C2O1V2 - Roteiro de Vídeo.mp4</t>
  </si>
  <si>
    <t>U7C2O1V3</t>
  </si>
  <si>
    <t>Microeletrônica-U7C2O1V3</t>
  </si>
  <si>
    <t>Microeletrônica - U7C2O1V3 - Roteiro de Vídeo.mp4</t>
  </si>
  <si>
    <t>U7C2O1S1</t>
  </si>
  <si>
    <t>U7C2O1S1.pptx</t>
  </si>
  <si>
    <t>Slide - U7C2O1S1.pdf</t>
  </si>
  <si>
    <t>U7C2O1S2</t>
  </si>
  <si>
    <t>U7C2O1S2.pptx</t>
  </si>
  <si>
    <t>Slide - U7C2O1S2.pdf</t>
  </si>
  <si>
    <t>U7C2O1S3</t>
  </si>
  <si>
    <t>U7C2O1S3.pptx</t>
  </si>
  <si>
    <t>Slide - U7C2O1S3.pdf</t>
  </si>
  <si>
    <t>U7C2O1Q1</t>
  </si>
  <si>
    <t>Microeletrônica-U7C2O1Q1</t>
  </si>
  <si>
    <t>U7C2O1P1</t>
  </si>
  <si>
    <t>Microeletrônica-U7C2O1P1</t>
  </si>
  <si>
    <t>U7C3O1V1</t>
  </si>
  <si>
    <t>Microeletrônica-U7C3O1V1</t>
  </si>
  <si>
    <t>Microeletrônica - U7C3O1V1 - Roteiro de Vídeo.mp4</t>
  </si>
  <si>
    <t>U7C3O1V2</t>
  </si>
  <si>
    <t>Microeletrônica-U7C3O1V2</t>
  </si>
  <si>
    <t>Microeletrônica - U7C3O1V2 - Roteiro de Vídeo.mp4</t>
  </si>
  <si>
    <t>U7C3O1V3</t>
  </si>
  <si>
    <t>Microeletrônica-U7C3O1V3</t>
  </si>
  <si>
    <t>Microeletrônica - U7C3O1V3 - Roteiro de Vídeo.mp4</t>
  </si>
  <si>
    <t>U7C3O1V4</t>
  </si>
  <si>
    <t>Microeletrônica-U7C3O1V4</t>
  </si>
  <si>
    <t>Microeletrônica - U7C3O1V4 - Roteiro de Vídeo.mp4</t>
  </si>
  <si>
    <t>U7C3O1V5</t>
  </si>
  <si>
    <t>Microeletrônica-U7C3O1V5</t>
  </si>
  <si>
    <t>Microeletrônica - U7C3O1V5 - Roteiro de Vídeo.mp4</t>
  </si>
  <si>
    <t>U7C3O1S1</t>
  </si>
  <si>
    <t>U7C3O1S1.pptx</t>
  </si>
  <si>
    <t>Slide - U7C3O1S1.pdf</t>
  </si>
  <si>
    <t>U7C3O1S2</t>
  </si>
  <si>
    <t>U7C3O1S2.pptx</t>
  </si>
  <si>
    <t>Slide - U7C3O1S2.pdf</t>
  </si>
  <si>
    <t>U7C3O1S3</t>
  </si>
  <si>
    <t>U7C3O1S3.pptx</t>
  </si>
  <si>
    <t>Slide - U7C3O1S3.pdf</t>
  </si>
  <si>
    <t>U7C3O1S4</t>
  </si>
  <si>
    <t>U7C3O1S4.pptx</t>
  </si>
  <si>
    <t>Slide - U7C3O1S4.pdf</t>
  </si>
  <si>
    <t>U7C3O1S5</t>
  </si>
  <si>
    <t>U7C3O1S5.pptx</t>
  </si>
  <si>
    <t>Slide - U7C3O1S5.pdf</t>
  </si>
  <si>
    <t>U7C3O1Q1</t>
  </si>
  <si>
    <t>Microeletrônica-U7C3O1Q1</t>
  </si>
  <si>
    <t>U7C3O1P1</t>
  </si>
  <si>
    <t>Microeletrônica-U7C3O1P1</t>
  </si>
  <si>
    <t>U7C4O1V1</t>
  </si>
  <si>
    <t>Microeletrônica-U7C4O1V1</t>
  </si>
  <si>
    <t>Microeletrônica - U7C4O1V1 - Roteiro de Vídeo.mp4</t>
  </si>
  <si>
    <t>U7C4O1V2</t>
  </si>
  <si>
    <t>Microeletrônica-U7C4O1V2</t>
  </si>
  <si>
    <t xml:space="preserve"> Microeletrônica - U7C4O1V2 - Roteiro De Vídeo.mp4</t>
  </si>
  <si>
    <t>U7C4O1V3</t>
  </si>
  <si>
    <t>Microeletrônica-U7C4O1V3</t>
  </si>
  <si>
    <t>Microeletrônica - U7C4O1V3 - Roteiro de Vídeo.mp4</t>
  </si>
  <si>
    <t>U7C4O1V4</t>
  </si>
  <si>
    <t>Microeletrônica-U7C4O1V4</t>
  </si>
  <si>
    <t>Microeletrônica - U7C4O1V4 - Roteiro de Vídeo.mp4</t>
  </si>
  <si>
    <t>U7C4O1V5</t>
  </si>
  <si>
    <t>Microeletrônica-U7C4O1V5</t>
  </si>
  <si>
    <t>Microeletrônica - U7C4O1V5 - Roteiro de Vídeo.mp4</t>
  </si>
  <si>
    <t>U7C4O1S1</t>
  </si>
  <si>
    <t>U7C4O1S1.pptx</t>
  </si>
  <si>
    <t>Slide - U7C4O1S1.pdf</t>
  </si>
  <si>
    <t>U7C4O1S2</t>
  </si>
  <si>
    <t>U7C4O1S2.pptx</t>
  </si>
  <si>
    <t>Slide - U7C4O1S2.pdf</t>
  </si>
  <si>
    <t>U7C4O1S3</t>
  </si>
  <si>
    <t>U7C4O1S3.pptx</t>
  </si>
  <si>
    <t>Slide - U7C4O1S3.pdf</t>
  </si>
  <si>
    <t>U7C4O1S4</t>
  </si>
  <si>
    <t>U7C4O1S4.pptx</t>
  </si>
  <si>
    <t>Slide - U7C4O1S4.pdf</t>
  </si>
  <si>
    <t>U7C4O1S5</t>
  </si>
  <si>
    <t>U7C4O1S5.pptx</t>
  </si>
  <si>
    <t>Slide - U7C4O1S5.pdf</t>
  </si>
  <si>
    <t>U7C4O1Q1</t>
  </si>
  <si>
    <t>Microeletrônica-U7C4O1Q1</t>
  </si>
  <si>
    <t>U7C4O1P1</t>
  </si>
  <si>
    <t>U7C5O1V1</t>
  </si>
  <si>
    <t>Microeletrônica-U7C5O1V1</t>
  </si>
  <si>
    <t>Microeletrônica - U7C5O1V1 - Roteiro de Vídeo.mp4</t>
  </si>
  <si>
    <t>U7C5O1V2</t>
  </si>
  <si>
    <t>Microeletrônica-U7C5O1V2</t>
  </si>
  <si>
    <t>Microeletrônica - U7C5O1V2 - Roteiro de Vídeo.mp4</t>
  </si>
  <si>
    <t>U7C5O1V3</t>
  </si>
  <si>
    <t>Microeletrônica-U7C5O1V3</t>
  </si>
  <si>
    <t>Microeletrônica - U7C5O1V3 - Roteiro de Vídeo.mp4</t>
  </si>
  <si>
    <t>U7C5O1V4</t>
  </si>
  <si>
    <t>Microeletrônica-U7C5O1V4</t>
  </si>
  <si>
    <t>Microeletrônica - U7C5O1V4 - Roteiro de Vídeo.mp4</t>
  </si>
  <si>
    <t>U7C5O1S1</t>
  </si>
  <si>
    <t>U7C5O1S1.pptx</t>
  </si>
  <si>
    <t>Slide - U7C5O1S1.pdf</t>
  </si>
  <si>
    <t>U7C5O1S2</t>
  </si>
  <si>
    <t>U7C5O1S2.pptx</t>
  </si>
  <si>
    <t>Slide - U7C5O1S2.pdf</t>
  </si>
  <si>
    <t>U7C5O1S3</t>
  </si>
  <si>
    <t>U7C5O1S3.pptx</t>
  </si>
  <si>
    <t>Slide - U7C5O1S3.pdf</t>
  </si>
  <si>
    <t>U7C5O1S4</t>
  </si>
  <si>
    <t>U7C5O1S4.pptx</t>
  </si>
  <si>
    <t>Slide - U7C5O1S4.pdf</t>
  </si>
  <si>
    <t>U7C5O1Q1</t>
  </si>
  <si>
    <t>Microeletrônica-U7C5O1Q1</t>
  </si>
  <si>
    <t>U7C5O1P1</t>
  </si>
  <si>
    <t>Microeletrônica-U7C5O1P1</t>
  </si>
  <si>
    <t>U7C5O3V1</t>
  </si>
  <si>
    <t xml:space="preserve"> Microeletronica - U7C5O3V1 - Vídeo</t>
  </si>
  <si>
    <t>U7C5O3T1</t>
  </si>
  <si>
    <t>Microeletrônica-U7C5O3T1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</si>
</sst>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8">
    <font>
      <sz val="10.0"/>
      <color rgb="FF000000"/>
      <name val="Arial"/>
      <scheme val="minor"/>
    </font>
    <font>
      <b/>
      <color rgb="FFF3F3F3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1" fillId="0" fontId="1" numFmtId="49" xfId="0" applyAlignment="1" applyBorder="1" applyFont="1" applyNumberForma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3" fillId="0" fontId="2" numFmtId="0" xfId="0" applyAlignment="1" applyBorder="1" applyFont="1">
      <alignment horizontal="center" readingOrder="0" shrinkToFit="0" vertical="center" wrapText="0"/>
    </xf>
    <xf borderId="3" fillId="0" fontId="2" numFmtId="49" xfId="0" applyAlignment="1" applyBorder="1" applyFont="1" applyNumberFormat="1">
      <alignment readingOrder="0" shrinkToFit="0" vertical="center" wrapText="0"/>
    </xf>
    <xf borderId="3" fillId="0" fontId="2" numFmtId="10" xfId="0" applyAlignment="1" applyBorder="1" applyFont="1" applyNumberFormat="1">
      <alignment shrinkToFit="0" vertical="center" wrapText="0"/>
    </xf>
    <xf borderId="3" fillId="0" fontId="2" numFmtId="9" xfId="0" applyAlignment="1" applyBorder="1" applyFont="1" applyNumberFormat="1">
      <alignment horizontal="center" shrinkToFit="0" vertical="center" wrapText="0"/>
    </xf>
    <xf borderId="3" fillId="0" fontId="3" numFmtId="0" xfId="0" applyAlignment="1" applyBorder="1" applyFont="1">
      <alignment horizontal="center" readingOrder="0" shrinkToFit="0" vertical="center" wrapText="0"/>
    </xf>
    <xf borderId="3" fillId="0" fontId="2" numFmtId="164" xfId="0" applyAlignment="1" applyBorder="1" applyFont="1" applyNumberFormat="1">
      <alignment horizontal="center" readingOrder="0" shrinkToFit="0" vertical="center" wrapText="0"/>
    </xf>
    <xf borderId="4" fillId="0" fontId="4" numFmtId="0" xfId="0" applyAlignment="1" applyBorder="1" applyFont="1">
      <alignment horizontal="center" readingOrder="0" shrinkToFit="0" vertical="center" wrapText="0"/>
    </xf>
    <xf borderId="3" fillId="0" fontId="4" numFmtId="0" xfId="0" applyAlignment="1" applyBorder="1" applyFont="1">
      <alignment horizontal="center" readingOrder="0" shrinkToFit="0" vertical="center" wrapText="0"/>
    </xf>
    <xf borderId="4" fillId="0" fontId="5" numFmtId="0" xfId="0" applyAlignment="1" applyBorder="1" applyFont="1">
      <alignment horizontal="center" readingOrder="0" shrinkToFit="0" vertical="center" wrapText="0"/>
    </xf>
    <xf borderId="4" fillId="0" fontId="6" numFmtId="0" xfId="0" applyAlignment="1" applyBorder="1" applyFont="1">
      <alignment horizontal="center" readingOrder="0" shrinkToFit="0" vertical="center" wrapText="0"/>
    </xf>
    <xf borderId="4" fillId="0" fontId="7" numFmtId="0" xfId="0" applyAlignment="1" applyBorder="1" applyFont="1">
      <alignment horizontal="center" readingOrder="0" shrinkToFit="0" vertical="center" wrapText="0"/>
    </xf>
    <xf borderId="4" fillId="0" fontId="2" numFmtId="49" xfId="0" applyAlignment="1" applyBorder="1" applyFont="1" applyNumberFormat="1">
      <alignment readingOrder="0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horizontal="center" readingOrder="0" shrinkToFit="0" vertical="center" wrapText="0"/>
    </xf>
    <xf borderId="4" fillId="0" fontId="2" numFmtId="0" xfId="0" applyAlignment="1" applyBorder="1" applyFont="1">
      <alignment horizontal="center" readingOrder="0" shrinkToFit="0" vertical="center" wrapText="0"/>
    </xf>
    <xf borderId="4" fillId="0" fontId="4" numFmtId="0" xfId="0" applyAlignment="1" applyBorder="1" applyFont="1">
      <alignment horizontal="center" readingOrder="0" shrinkToFit="0" vertical="center" wrapText="0"/>
    </xf>
    <xf borderId="4" fillId="0" fontId="2" numFmtId="0" xfId="0" applyAlignment="1" applyBorder="1" applyFont="1">
      <alignment readingOrder="0" shrinkToFit="0" vertical="center" wrapText="0"/>
    </xf>
    <xf borderId="3" fillId="0" fontId="2" numFmtId="0" xfId="0" applyAlignment="1" applyBorder="1" applyFont="1">
      <alignment horizontal="center" readingOrder="0" shrinkToFit="0" vertical="center" wrapText="0"/>
    </xf>
    <xf borderId="4" fillId="0" fontId="2" numFmtId="164" xfId="0" applyAlignment="1" applyBorder="1" applyFont="1" applyNumberFormat="1">
      <alignment horizontal="center" readingOrder="0" shrinkToFit="0" vertical="center" wrapText="0"/>
    </xf>
    <xf borderId="5" fillId="0" fontId="4" numFmtId="0" xfId="0" applyAlignment="1" applyBorder="1" applyFont="1">
      <alignment horizontal="center" readingOrder="0" shrinkToFit="0" vertical="center" wrapText="0"/>
    </xf>
    <xf borderId="6" fillId="0" fontId="10" numFmtId="0" xfId="0" applyAlignment="1" applyBorder="1" applyFont="1">
      <alignment readingOrder="0" shrinkToFit="0" vertical="center" wrapText="0"/>
    </xf>
    <xf borderId="7" fillId="0" fontId="2" numFmtId="0" xfId="0" applyAlignment="1" applyBorder="1" applyFont="1">
      <alignment horizontal="center" readingOrder="0" shrinkToFit="0" vertical="center" wrapText="0"/>
    </xf>
    <xf borderId="4" fillId="0" fontId="2" numFmtId="0" xfId="0" applyAlignment="1" applyBorder="1" applyFont="1">
      <alignment horizontal="center" readingOrder="0" shrinkToFit="0" vertical="center" wrapText="0"/>
    </xf>
    <xf borderId="6" fillId="0" fontId="11" numFmtId="0" xfId="0" applyAlignment="1" applyBorder="1" applyFont="1">
      <alignment horizontal="center" readingOrder="0" shrinkToFit="0" vertical="center" wrapText="0"/>
    </xf>
    <xf borderId="5" fillId="0" fontId="4" numFmtId="0" xfId="0" applyAlignment="1" applyBorder="1" applyFont="1">
      <alignment horizontal="center" readingOrder="0" shrinkToFit="0" vertical="center" wrapText="0"/>
    </xf>
    <xf borderId="6" fillId="0" fontId="12" numFmtId="0" xfId="0" applyAlignment="1" applyBorder="1" applyFont="1">
      <alignment horizontal="center" readingOrder="0" shrinkToFit="0" vertical="center" wrapText="0"/>
    </xf>
    <xf borderId="0" fillId="0" fontId="13" numFmtId="0" xfId="0" applyAlignment="1" applyFont="1">
      <alignment readingOrder="0" shrinkToFit="0" vertical="center" wrapText="0"/>
    </xf>
    <xf borderId="8" fillId="0" fontId="14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3" fillId="0" fontId="15" numFmtId="49" xfId="0" applyAlignment="1" applyBorder="1" applyFont="1" applyNumberFormat="1">
      <alignment horizontal="center" readingOrder="0" shrinkToFit="0" vertical="center" wrapText="0"/>
    </xf>
    <xf borderId="6" fillId="0" fontId="2" numFmtId="0" xfId="0" applyAlignment="1" applyBorder="1" applyFont="1">
      <alignment horizontal="center" readingOrder="0" shrinkToFit="0" vertical="center" wrapText="0"/>
    </xf>
    <xf borderId="4" fillId="0" fontId="2" numFmtId="0" xfId="0" applyAlignment="1" applyBorder="1" applyFont="1">
      <alignment horizontal="center" readingOrder="0" shrinkToFit="0" vertical="center" wrapText="0"/>
    </xf>
    <xf borderId="3" fillId="0" fontId="4" numFmtId="0" xfId="0" applyAlignment="1" applyBorder="1" applyFont="1">
      <alignment horizontal="center" readingOrder="0" shrinkToFit="0" vertical="center" wrapText="0"/>
    </xf>
    <xf borderId="5" fillId="0" fontId="2" numFmtId="164" xfId="0" applyAlignment="1" applyBorder="1" applyFont="1" applyNumberFormat="1">
      <alignment horizontal="center" readingOrder="0" shrinkToFit="0" vertical="center" wrapText="0"/>
    </xf>
    <xf borderId="4" fillId="0" fontId="16" numFmtId="0" xfId="0" applyAlignment="1" applyBorder="1" applyFont="1">
      <alignment readingOrder="0" shrinkToFit="0" vertical="center" wrapText="0"/>
    </xf>
    <xf borderId="4" fillId="0" fontId="17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7">
    <tableStyle count="4" pivot="0" name="Unidade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nidade 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nidade 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nidade 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nidade 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nidade 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nidade 7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C31" displayName="Microeletrônica_Geral" name="Microeletrônica_Geral" id="1">
  <tableColumns count="29">
    <tableColumn name="Unidade " id="1"/>
    <tableColumn name="Capítulo" id="2"/>
    <tableColumn name="Código do Objeto" id="3"/>
    <tableColumn name="Tipo de Objeto" id="4"/>
    <tableColumn name="Progresso" id="5"/>
    <tableColumn name="% " id="6"/>
    <tableColumn name="🔗 Objeto" id="7"/>
    <tableColumn name="Conteudista" id="8"/>
    <tableColumn name="Deadline Conteudi" id="9"/>
    <tableColumn name="Status Conteudista" id="10"/>
    <tableColumn name="DI" id="11"/>
    <tableColumn name="Deadline DI" id="12"/>
    <tableColumn name="Status DI" id="13"/>
    <tableColumn name="Prof. Ator" id="14"/>
    <tableColumn name="Deadline Gravação" id="15"/>
    <tableColumn name="Status Gravação" id="16"/>
    <tableColumn name="Prof. Técnico" id="17"/>
    <tableColumn name="Deadline Revisão" id="18"/>
    <tableColumn name="Status Revisão" id="19"/>
    <tableColumn name="Produtor Acessi" id="20"/>
    <tableColumn name="Deadline Acessibili" id="21"/>
    <tableColumn name="Status Acessibilidade" id="22"/>
    <tableColumn name="Produtor" id="23"/>
    <tableColumn name="Deadline Produtor" id="24"/>
    <tableColumn name="Status Produtor" id="25"/>
    <tableColumn name="🔗Objeto Final" id="26"/>
    <tableColumn name="Validação Final" id="27"/>
    <tableColumn name="Deadline Final" id="28"/>
    <tableColumn name="Status Validação Final" id="29"/>
  </tableColumns>
  <tableStyleInfo name="Unidade 1-style" showColumnStripes="0" showFirstColumn="1" showLastColumn="1" showRowStripes="1"/>
</table>
</file>

<file path=xl/tables/table2.xml><?xml version="1.0" encoding="utf-8"?>
<table xmlns="http://schemas.openxmlformats.org/spreadsheetml/2006/main" ref="A1:AE22" displayName="Microeletrônica_Geral_2" name="Microeletrônica_Geral_2" id="2">
  <autoFilter ref="$A$1:$AE$22"/>
  <tableColumns count="31">
    <tableColumn name="Unidade" id="1"/>
    <tableColumn name="Capítulo" id="2"/>
    <tableColumn name="Código do Objeto" id="3"/>
    <tableColumn name="Tipo de Objeto" id="4"/>
    <tableColumn name="Progresso" id="5"/>
    <tableColumn name="% " id="6"/>
    <tableColumn name="🔗 Objeto" id="7"/>
    <tableColumn name="Conteudista" id="8"/>
    <tableColumn name="Deadline Conteudi" id="9"/>
    <tableColumn name="Status Conteudista" id="10"/>
    <tableColumn name="Deadline Real" id="11"/>
    <tableColumn name="Entrega Conteudista" id="12"/>
    <tableColumn name="DI" id="13"/>
    <tableColumn name="Deadline DI" id="14"/>
    <tableColumn name="Status DI" id="15"/>
    <tableColumn name="Prof. Ator" id="16"/>
    <tableColumn name="Deadline Gravação" id="17"/>
    <tableColumn name="Status Gravação" id="18"/>
    <tableColumn name="Professor Técnico" id="19"/>
    <tableColumn name="Deadline Revisão" id="20"/>
    <tableColumn name="Status Revisão" id="21"/>
    <tableColumn name="Produtor Acessi" id="22"/>
    <tableColumn name="Deadline Acessibili" id="23"/>
    <tableColumn name="Status Acessibilidade" id="24"/>
    <tableColumn name="Produtor" id="25"/>
    <tableColumn name="Deadline Produtor" id="26"/>
    <tableColumn name="Status Produtor" id="27"/>
    <tableColumn name="🔗Objeto Final" id="28"/>
    <tableColumn name="Validação Final" id="29"/>
    <tableColumn name="Deadline Final" id="30"/>
    <tableColumn name="Status Validação Final" id="31"/>
  </tableColumns>
  <tableStyleInfo name="Unidade 2-style" showColumnStripes="0" showFirstColumn="1" showLastColumn="1" showRowStripes="1"/>
</table>
</file>

<file path=xl/tables/table3.xml><?xml version="1.0" encoding="utf-8"?>
<table xmlns="http://schemas.openxmlformats.org/spreadsheetml/2006/main" ref="A1:AE44" displayName="Microeletrônica_Geral_3" name="Microeletrônica_Geral_3" id="3">
  <autoFilter ref="$A$1:$AE$44"/>
  <tableColumns count="31">
    <tableColumn name="Unidade" id="1"/>
    <tableColumn name="Capítulo" id="2"/>
    <tableColumn name="Código do Objeto" id="3"/>
    <tableColumn name="Tipo de Objeto" id="4"/>
    <tableColumn name="Progresso" id="5"/>
    <tableColumn name="% " id="6"/>
    <tableColumn name="🔗 Objeto" id="7"/>
    <tableColumn name="Conteudista" id="8"/>
    <tableColumn name="Deadline Conteudi" id="9"/>
    <tableColumn name="Status Conteudista" id="10"/>
    <tableColumn name="Deadline Real" id="11"/>
    <tableColumn name="Entrega Conteudista" id="12"/>
    <tableColumn name="DI" id="13"/>
    <tableColumn name="Deadline DI" id="14"/>
    <tableColumn name="Status DI" id="15"/>
    <tableColumn name="Prof. Ator" id="16"/>
    <tableColumn name="Deadline Gravação" id="17"/>
    <tableColumn name="Status Gravação" id="18"/>
    <tableColumn name="Professor Técnico" id="19"/>
    <tableColumn name="Deadline Revisão" id="20"/>
    <tableColumn name="Status Revisão" id="21"/>
    <tableColumn name="Produtor Acessi" id="22"/>
    <tableColumn name="Deadline Acessibili" id="23"/>
    <tableColumn name="Status Acessibilidade" id="24"/>
    <tableColumn name="Produtor" id="25"/>
    <tableColumn name="Deadline Produtor" id="26"/>
    <tableColumn name="Status Produtor" id="27"/>
    <tableColumn name="🔗Objeto Final" id="28"/>
    <tableColumn name="Validação Final" id="29"/>
    <tableColumn name="Deadline Final" id="30"/>
    <tableColumn name="Status Validação Final" id="31"/>
  </tableColumns>
  <tableStyleInfo name="Unidade 3-style" showColumnStripes="0" showFirstColumn="1" showLastColumn="1" showRowStripes="1"/>
</table>
</file>

<file path=xl/tables/table4.xml><?xml version="1.0" encoding="utf-8"?>
<table xmlns="http://schemas.openxmlformats.org/spreadsheetml/2006/main" ref="A1:AE42" displayName="Microeletrônica_Geral_4" name="Microeletrônica_Geral_4" id="4">
  <autoFilter ref="$A$1:$AE$42">
    <filterColumn colId="3">
      <filters>
        <filter val="Roteiro de Vídeo"/>
      </filters>
    </filterColumn>
  </autoFilter>
  <tableColumns count="31">
    <tableColumn name="Unidade" id="1"/>
    <tableColumn name="Capítulo" id="2"/>
    <tableColumn name="Código do Objeto" id="3"/>
    <tableColumn name="Tipo de Objeto" id="4"/>
    <tableColumn name="Progresso" id="5"/>
    <tableColumn name="% " id="6"/>
    <tableColumn name="🔗 Objeto" id="7"/>
    <tableColumn name="Conteudista" id="8"/>
    <tableColumn name="Deadline Conteudi" id="9"/>
    <tableColumn name="Status Conteudista" id="10"/>
    <tableColumn name="Deadline Real" id="11"/>
    <tableColumn name="Entrega Conteudista" id="12"/>
    <tableColumn name="DI" id="13"/>
    <tableColumn name="Deadline DI" id="14"/>
    <tableColumn name="Status DI" id="15"/>
    <tableColumn name="Prof. Ator" id="16"/>
    <tableColumn name="Deadline Gravação" id="17"/>
    <tableColumn name="Status Gravação" id="18"/>
    <tableColumn name="Professor Técnico" id="19"/>
    <tableColumn name="Deadline Revisão" id="20"/>
    <tableColumn name="Status Revisão" id="21"/>
    <tableColumn name="Produtor Acessi" id="22"/>
    <tableColumn name="Deadline Acessibili" id="23"/>
    <tableColumn name="Status Acessibilidade" id="24"/>
    <tableColumn name="Produtor" id="25"/>
    <tableColumn name="Deadline Produtor" id="26"/>
    <tableColumn name="Status Produtor" id="27"/>
    <tableColumn name="🔗Objeto Final" id="28"/>
    <tableColumn name="Validação Final" id="29"/>
    <tableColumn name="Deadline Final" id="30"/>
    <tableColumn name="Status Validação Final" id="31"/>
  </tableColumns>
  <tableStyleInfo name="Unidade 4-style" showColumnStripes="0" showFirstColumn="1" showLastColumn="1" showRowStripes="1"/>
</table>
</file>

<file path=xl/tables/table5.xml><?xml version="1.0" encoding="utf-8"?>
<table xmlns="http://schemas.openxmlformats.org/spreadsheetml/2006/main" ref="A1:AC26" displayName="Microeletrônica_Geral_5" name="Microeletrônica_Geral_5" id="5">
  <tableColumns count="29">
    <tableColumn name="Unidade" id="1"/>
    <tableColumn name="Capítulo" id="2"/>
    <tableColumn name="Código do Objeto" id="3"/>
    <tableColumn name="Tipo de Objeto" id="4"/>
    <tableColumn name="Progresso" id="5"/>
    <tableColumn name="% " id="6"/>
    <tableColumn name="🔗 Objeto" id="7"/>
    <tableColumn name="Conteudista" id="8"/>
    <tableColumn name="Deadline Conteudi" id="9"/>
    <tableColumn name="Status Conteudista" id="10"/>
    <tableColumn name="DI" id="11"/>
    <tableColumn name="Deadline DI" id="12"/>
    <tableColumn name="Status DI" id="13"/>
    <tableColumn name="Prof. Ator" id="14"/>
    <tableColumn name="Deadline Gravação" id="15"/>
    <tableColumn name="Status Gravação" id="16"/>
    <tableColumn name="Professor Técnico" id="17"/>
    <tableColumn name="Deadline Revisão" id="18"/>
    <tableColumn name="Status Revisão" id="19"/>
    <tableColumn name="Produtor Acessi" id="20"/>
    <tableColumn name="Deadline Acessibili" id="21"/>
    <tableColumn name="Status Acessibilidade" id="22"/>
    <tableColumn name="Produtor" id="23"/>
    <tableColumn name="Deadline Produtor" id="24"/>
    <tableColumn name="Status Produtor" id="25"/>
    <tableColumn name="🔗Objeto Final" id="26"/>
    <tableColumn name="Validação Final" id="27"/>
    <tableColumn name="Deadline Final" id="28"/>
    <tableColumn name="Status Validação Final" id="29"/>
  </tableColumns>
  <tableStyleInfo name="Unidade 5-style" showColumnStripes="0" showFirstColumn="1" showLastColumn="1" showRowStripes="1"/>
</table>
</file>

<file path=xl/tables/table6.xml><?xml version="1.0" encoding="utf-8"?>
<table xmlns="http://schemas.openxmlformats.org/spreadsheetml/2006/main" ref="A1:AC45" displayName="Microeletrônica_Geral_6" name="Microeletrônica_Geral_6" id="6">
  <tableColumns count="29">
    <tableColumn name="Unidade" id="1"/>
    <tableColumn name="Capítulo" id="2"/>
    <tableColumn name="Código do Objeto" id="3"/>
    <tableColumn name="Tipo de Objeto" id="4"/>
    <tableColumn name="Progresso" id="5"/>
    <tableColumn name="% " id="6"/>
    <tableColumn name="🔗 Objeto" id="7"/>
    <tableColumn name="Conteudista" id="8"/>
    <tableColumn name="Deadline Conteudi" id="9"/>
    <tableColumn name="Status Conteudista" id="10"/>
    <tableColumn name="DI" id="11"/>
    <tableColumn name="Deadline DI" id="12"/>
    <tableColumn name="Status DI" id="13"/>
    <tableColumn name="Prof. Ator" id="14"/>
    <tableColumn name="Deadline Gravação" id="15"/>
    <tableColumn name="Status Gravação" id="16"/>
    <tableColumn name="Professor Técnico" id="17"/>
    <tableColumn name="Deadline Revisão" id="18"/>
    <tableColumn name="Status Revisão" id="19"/>
    <tableColumn name="Produtor Acessi" id="20"/>
    <tableColumn name="Deadline Acessibili" id="21"/>
    <tableColumn name="Status Acessibilidade" id="22"/>
    <tableColumn name="Produtor" id="23"/>
    <tableColumn name="Deadline Produtor" id="24"/>
    <tableColumn name="Status Produtor" id="25"/>
    <tableColumn name="🔗Objeto Final" id="26"/>
    <tableColumn name="Validação Final" id="27"/>
    <tableColumn name="Deadline Final" id="28"/>
    <tableColumn name="Status Validação Final" id="29"/>
  </tableColumns>
  <tableStyleInfo name="Unidade 6-style" showColumnStripes="0" showFirstColumn="1" showLastColumn="1" showRowStripes="1"/>
</table>
</file>

<file path=xl/tables/table7.xml><?xml version="1.0" encoding="utf-8"?>
<table xmlns="http://schemas.openxmlformats.org/spreadsheetml/2006/main" ref="A1:AC60" displayName="Microeletrônica_Geral_7" name="Microeletrônica_Geral_7" id="7">
  <tableColumns count="29">
    <tableColumn name="Unidade" id="1"/>
    <tableColumn name="Capítulo" id="2"/>
    <tableColumn name="Código do Objeto" id="3"/>
    <tableColumn name="Tipo de Objeto" id="4"/>
    <tableColumn name="Progresso" id="5"/>
    <tableColumn name="% " id="6"/>
    <tableColumn name="🔗 Objeto" id="7"/>
    <tableColumn name="Conteudista" id="8"/>
    <tableColumn name="Deadline Conteudi" id="9"/>
    <tableColumn name="Status Conteudista" id="10"/>
    <tableColumn name="DI" id="11"/>
    <tableColumn name="Deadline DI" id="12"/>
    <tableColumn name="Status DI" id="13"/>
    <tableColumn name="Prof. Ator" id="14"/>
    <tableColumn name="Deadline Gravação" id="15"/>
    <tableColumn name="Status Gravação" id="16"/>
    <tableColumn name="Professor Técnico" id="17"/>
    <tableColumn name="Deadline Revisão" id="18"/>
    <tableColumn name="Status Revisão" id="19"/>
    <tableColumn name="Produtor Acessi" id="20"/>
    <tableColumn name="Deadline Acessibili" id="21"/>
    <tableColumn name="Status Acessibilidade" id="22"/>
    <tableColumn name="Produtor" id="23"/>
    <tableColumn name="Deadline Produtor" id="24"/>
    <tableColumn name="Status Produtor" id="25"/>
    <tableColumn name="🔗Objeto Final" id="26"/>
    <tableColumn name="Validação Final" id="27"/>
    <tableColumn name="Deadline Final" id="28"/>
    <tableColumn name="Status Validação Final" id="29"/>
  </tableColumns>
  <tableStyleInfo name="Unidade 7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presentation/d/1E2zMH2GEajqD_xRl2f6k8gdEUK0XPxn8/edit?usp=sharing&amp;ouid=111713423622202995933&amp;rtpof=true&amp;sd=true" TargetMode="External"/><Relationship Id="rId84" Type="http://schemas.openxmlformats.org/officeDocument/2006/relationships/hyperlink" Target="https://drive.google.com/file/d/1tXcDTTz0-Y9z9AuS6xy1W2GZ-oFH_yC_/view?usp=drive_link" TargetMode="External"/><Relationship Id="rId83" Type="http://schemas.openxmlformats.org/officeDocument/2006/relationships/hyperlink" Target="mailto:davi@fmm.org.br" TargetMode="External"/><Relationship Id="rId42" Type="http://schemas.openxmlformats.org/officeDocument/2006/relationships/hyperlink" Target="https://drive.google.com/file/d/1HwN8Kk9w_nutxZFNPci3sIJlnMnmoGky/view?usp=drive_link" TargetMode="External"/><Relationship Id="rId86" Type="http://schemas.openxmlformats.org/officeDocument/2006/relationships/hyperlink" Target="mailto:davi@fmm.org.br" TargetMode="External"/><Relationship Id="rId41" Type="http://schemas.openxmlformats.org/officeDocument/2006/relationships/hyperlink" Target="mailto:davi@fmm.org.br" TargetMode="External"/><Relationship Id="rId85" Type="http://schemas.openxmlformats.org/officeDocument/2006/relationships/hyperlink" Target="https://docs.google.com/document/d/1UqAlzwg0F82sMJrX5iA3X8rYDl4muSx1vz45pMRcZyQ/edit?usp=sharing" TargetMode="External"/><Relationship Id="rId44" Type="http://schemas.openxmlformats.org/officeDocument/2006/relationships/hyperlink" Target="mailto:davi@fmm.org.br" TargetMode="External"/><Relationship Id="rId88" Type="http://schemas.openxmlformats.org/officeDocument/2006/relationships/hyperlink" Target="https://docs.google.com/document/d/1LPmCgclU-di8lzLLRcoFXdLE0zs8B0DQt3XtFyddRJE/edit?usp=sharing" TargetMode="External"/><Relationship Id="rId43" Type="http://schemas.openxmlformats.org/officeDocument/2006/relationships/hyperlink" Target="https://docs.google.com/presentation/d/1YUZyi35jGne7_dMyS-XXgXevhbdKqKJv/edit?usp=sharing&amp;ouid=111713423622202995933&amp;rtpof=true&amp;sd=true" TargetMode="External"/><Relationship Id="rId87" Type="http://schemas.openxmlformats.org/officeDocument/2006/relationships/hyperlink" Target="https://drive.google.com/file/d/1ht9xasivZxYoZcwMxa0MF00JWHkkQmNL/view?usp=drive_link" TargetMode="External"/><Relationship Id="rId46" Type="http://schemas.openxmlformats.org/officeDocument/2006/relationships/hyperlink" Target="https://docs.google.com/presentation/d/1LoFSZXSZ4qzeRF16NfixQmQDc5MZyp3B/edit?usp=sharing&amp;ouid=111713423622202995933&amp;rtpof=true&amp;sd=true" TargetMode="External"/><Relationship Id="rId45" Type="http://schemas.openxmlformats.org/officeDocument/2006/relationships/hyperlink" Target="https://drive.google.com/file/d/1Z9J9t8Nz1mITABJE-4Td2hBghv48NoW0/view?usp=drive_link" TargetMode="External"/><Relationship Id="rId89" Type="http://schemas.openxmlformats.org/officeDocument/2006/relationships/hyperlink" Target="mailto:davi@fmm.org.br" TargetMode="External"/><Relationship Id="rId80" Type="http://schemas.openxmlformats.org/officeDocument/2006/relationships/hyperlink" Target="mailto:davi@fmm.org.br" TargetMode="External"/><Relationship Id="rId82" Type="http://schemas.openxmlformats.org/officeDocument/2006/relationships/hyperlink" Target="https://docs.google.com/document/d/15bGPET3HuOd1zkmcFbGkmhvCQ6mRfIcS8tREaW1KFS8/edit?usp=sharing" TargetMode="External"/><Relationship Id="rId81" Type="http://schemas.openxmlformats.org/officeDocument/2006/relationships/hyperlink" Target="https://drive.google.com/file/d/1bSo8JQxqNDGxkcELD8j5ClazvlqQhG2O/view?usp=drive_link" TargetMode="External"/><Relationship Id="rId1" Type="http://schemas.openxmlformats.org/officeDocument/2006/relationships/hyperlink" Target="https://docs.google.com/document/d/1jDM9Jnaj0zvpS_bKqKPRyAy517Y3QM647dXw7Yb4qak/edit?usp=sharing" TargetMode="External"/><Relationship Id="rId2" Type="http://schemas.openxmlformats.org/officeDocument/2006/relationships/hyperlink" Target="mailto:davi@fmm.org.br" TargetMode="External"/><Relationship Id="rId3" Type="http://schemas.openxmlformats.org/officeDocument/2006/relationships/hyperlink" Target="https://drive.google.com/open?id=1K0i3fgnsozkh8_3dm7pdxTBLPTXBQG1G&amp;usp=drive_copy" TargetMode="External"/><Relationship Id="rId4" Type="http://schemas.openxmlformats.org/officeDocument/2006/relationships/hyperlink" Target="https://docs.google.com/document/d/1RZHJ5UGQIOfw87_UDSseZzM06iA0NCqB2gYbIPoeMxQ/edit?usp=sharing" TargetMode="External"/><Relationship Id="rId9" Type="http://schemas.openxmlformats.org/officeDocument/2006/relationships/hyperlink" Target="https://drive.google.com/open?id=1gsyuKLvG6WyxcPrJZAivenLCEwL2wGF5&amp;usp=drive_copy" TargetMode="External"/><Relationship Id="rId48" Type="http://schemas.openxmlformats.org/officeDocument/2006/relationships/hyperlink" Target="https://drive.google.com/file/d/15aEa5agCJj9l2epKhn11hN6TvSR4VcZr/view?usp=drive_link" TargetMode="External"/><Relationship Id="rId47" Type="http://schemas.openxmlformats.org/officeDocument/2006/relationships/hyperlink" Target="mailto:davi@fmm.org.br" TargetMode="External"/><Relationship Id="rId49" Type="http://schemas.openxmlformats.org/officeDocument/2006/relationships/hyperlink" Target="https://docs.google.com/document/d/14gtU5G9vZe070a74bbqMjCCs_n_PoDsSk4zzRDTGpqw/edit?usp=sharing" TargetMode="External"/><Relationship Id="rId5" Type="http://schemas.openxmlformats.org/officeDocument/2006/relationships/hyperlink" Target="mailto:davi@fmm.org.br" TargetMode="External"/><Relationship Id="rId6" Type="http://schemas.openxmlformats.org/officeDocument/2006/relationships/hyperlink" Target="https://drive.google.com/open?id=18pGvnJmt4HjC-KwvpPIAFk6adO-2n6sE&amp;usp=drive_copy" TargetMode="External"/><Relationship Id="rId7" Type="http://schemas.openxmlformats.org/officeDocument/2006/relationships/hyperlink" Target="https://docs.google.com/document/d/1tyxJiGgndZcYwPfzAjukvTCVRTBUzE0XgX1UZtApJwk/edit?usp=sharing" TargetMode="External"/><Relationship Id="rId8" Type="http://schemas.openxmlformats.org/officeDocument/2006/relationships/hyperlink" Target="mailto:davi@fmm.org.br" TargetMode="External"/><Relationship Id="rId73" Type="http://schemas.openxmlformats.org/officeDocument/2006/relationships/hyperlink" Target="https://docs.google.com/presentation/d/1F8WOfgQrz0PaJapSGVDtACQW2Vzvllvz/edit?usp=sharing&amp;ouid=111713423622202995933&amp;rtpof=true&amp;sd=true" TargetMode="External"/><Relationship Id="rId72" Type="http://schemas.openxmlformats.org/officeDocument/2006/relationships/hyperlink" Target="https://drive.google.com/file/d/13TfXDCEZ7aw4VHUgH6DllspXeqRTX1dB/view?usp=drive_link" TargetMode="External"/><Relationship Id="rId31" Type="http://schemas.openxmlformats.org/officeDocument/2006/relationships/hyperlink" Target="https://docs.google.com/document/d/1DojmRUfROJKOIV4BKhmQ6PfuG_fZ-aDweK4XhhK0y0A/edit?usp=sharing" TargetMode="External"/><Relationship Id="rId75" Type="http://schemas.openxmlformats.org/officeDocument/2006/relationships/hyperlink" Target="https://drive.google.com/file/d/1nkAffPJlxmNG2K0l5OQYLiOYFFf5gJD4/view?usp=drive_link" TargetMode="External"/><Relationship Id="rId30" Type="http://schemas.openxmlformats.org/officeDocument/2006/relationships/hyperlink" Target="https://drive.google.com/file/d/1KaG8eo8k2Yd92sTElyy3T-UNjC7qwXZC/view?usp=drive_link" TargetMode="External"/><Relationship Id="rId74" Type="http://schemas.openxmlformats.org/officeDocument/2006/relationships/hyperlink" Target="mailto:davi@fmm.org.br" TargetMode="External"/><Relationship Id="rId33" Type="http://schemas.openxmlformats.org/officeDocument/2006/relationships/hyperlink" Target="https://drive.google.com/open?id=1UVyP-CEchl22wW6uDAtG6aVvOpDd643X&amp;usp=drive_copy" TargetMode="External"/><Relationship Id="rId77" Type="http://schemas.openxmlformats.org/officeDocument/2006/relationships/hyperlink" Target="mailto:davi@fmm.org.br" TargetMode="External"/><Relationship Id="rId32" Type="http://schemas.openxmlformats.org/officeDocument/2006/relationships/hyperlink" Target="mailto:davi@fmm.org.br" TargetMode="External"/><Relationship Id="rId76" Type="http://schemas.openxmlformats.org/officeDocument/2006/relationships/hyperlink" Target="https://docs.google.com/presentation/d/1t7RH2ectfcgjP6s3XF9_dliJY0lj508I/edit?usp=sharing&amp;ouid=111713423622202995933&amp;rtpof=true&amp;sd=true" TargetMode="External"/><Relationship Id="rId35" Type="http://schemas.openxmlformats.org/officeDocument/2006/relationships/hyperlink" Target="mailto:davi@fmm.org.br" TargetMode="External"/><Relationship Id="rId79" Type="http://schemas.openxmlformats.org/officeDocument/2006/relationships/hyperlink" Target="https://docs.google.com/document/d/1UvPMyW6CEx9uI5i_saHHA88l7fJ4Ep_vrn6QeOG6WcE/edit?usp=sharing" TargetMode="External"/><Relationship Id="rId34" Type="http://schemas.openxmlformats.org/officeDocument/2006/relationships/hyperlink" Target="https://docs.google.com/document/d/18FOndlCuTzqo5bZpTneP8_ggK0AFq7hUI0MUqSd3mz0/edit?usp=sharing" TargetMode="External"/><Relationship Id="rId78" Type="http://schemas.openxmlformats.org/officeDocument/2006/relationships/hyperlink" Target="https://drive.google.com/file/d/1cw1g0vrjpa-wWOJ-mGikvQqcUw33fJ_g/view?usp=drive_link" TargetMode="External"/><Relationship Id="rId71" Type="http://schemas.openxmlformats.org/officeDocument/2006/relationships/hyperlink" Target="mailto:davi@fmm.org.br" TargetMode="External"/><Relationship Id="rId70" Type="http://schemas.openxmlformats.org/officeDocument/2006/relationships/hyperlink" Target="https://docs.google.com/presentation/d/1dZdnhW8gDfKPYT7JfpPd2mpQ5jR2dSiZ/edit?usp=sharing&amp;ouid=111713423622202995933&amp;rtpof=true&amp;sd=true" TargetMode="External"/><Relationship Id="rId37" Type="http://schemas.openxmlformats.org/officeDocument/2006/relationships/hyperlink" Target="https://docs.google.com/document/d/1ytsysuxuX8W4zXQYnvFxuxbOeA6l64JpYl2oNOUClYI/edit?usp=sharing" TargetMode="External"/><Relationship Id="rId36" Type="http://schemas.openxmlformats.org/officeDocument/2006/relationships/hyperlink" Target="https://drive.google.com/open?id=18LEg89K4j8-DeJ7RkTuMtWKLSkvMA3P8&amp;usp=drive_copy" TargetMode="External"/><Relationship Id="rId39" Type="http://schemas.openxmlformats.org/officeDocument/2006/relationships/hyperlink" Target="https://drive.google.com/open?id=1pfw1WN9HbePW-JID-COjLeeKQG10I0px&amp;usp=drive_copy" TargetMode="External"/><Relationship Id="rId38" Type="http://schemas.openxmlformats.org/officeDocument/2006/relationships/hyperlink" Target="mailto:davi@fmm.org.br" TargetMode="External"/><Relationship Id="rId62" Type="http://schemas.openxmlformats.org/officeDocument/2006/relationships/hyperlink" Target="mailto:davi@fmm.org.br" TargetMode="External"/><Relationship Id="rId61" Type="http://schemas.openxmlformats.org/officeDocument/2006/relationships/hyperlink" Target="https://docs.google.com/document/d/1-jFoHuRPVRZmKvZClNF1dLk1N0yBenRGUBiJDVYYcog/edit?usp=sharing" TargetMode="External"/><Relationship Id="rId20" Type="http://schemas.openxmlformats.org/officeDocument/2006/relationships/hyperlink" Target="mailto:davi@fmm.org.br" TargetMode="External"/><Relationship Id="rId64" Type="http://schemas.openxmlformats.org/officeDocument/2006/relationships/hyperlink" Target="https://docs.google.com/document/d/1FSBwAx7kTlG3bq403BRj_vwRL6K_6YAl3peAnJBQNjQ/edit?usp=sharing" TargetMode="External"/><Relationship Id="rId63" Type="http://schemas.openxmlformats.org/officeDocument/2006/relationships/hyperlink" Target="https://drive.google.com/open?id=1_ZJLUwHKzV2-N8c8jJhNl05UP5VF2VAs&amp;usp=drive_copy" TargetMode="External"/><Relationship Id="rId22" Type="http://schemas.openxmlformats.org/officeDocument/2006/relationships/hyperlink" Target="https://docs.google.com/document/d/1EMaGLvPOYqO5r4qF8AAim8q9w-hrSrRxyJYc70GVPBg/edit?usp=sharing" TargetMode="External"/><Relationship Id="rId66" Type="http://schemas.openxmlformats.org/officeDocument/2006/relationships/hyperlink" Target="https://drive.google.com/open?id=1LF4Lhteru4LXU_o-o0EeA8qaJOVQczhI&amp;usp=drive_copy" TargetMode="External"/><Relationship Id="rId21" Type="http://schemas.openxmlformats.org/officeDocument/2006/relationships/hyperlink" Target="https://drive.google.com/file/d/16w2F8TrgvJYT_XlmJ4VL8ywe7QTA7GHl/view?usp=drive_link" TargetMode="External"/><Relationship Id="rId65" Type="http://schemas.openxmlformats.org/officeDocument/2006/relationships/hyperlink" Target="mailto:davi@fmm.org.br" TargetMode="External"/><Relationship Id="rId24" Type="http://schemas.openxmlformats.org/officeDocument/2006/relationships/hyperlink" Target="https://drive.google.com/file/d/1oBA1DEQoIcoUZjaEMe0J2JnIdt8wtJI0/view?usp=drive_link" TargetMode="External"/><Relationship Id="rId68" Type="http://schemas.openxmlformats.org/officeDocument/2006/relationships/hyperlink" Target="mailto:davi@fmm.org.br" TargetMode="External"/><Relationship Id="rId23" Type="http://schemas.openxmlformats.org/officeDocument/2006/relationships/hyperlink" Target="mailto:davi@fmm.org.br" TargetMode="External"/><Relationship Id="rId67" Type="http://schemas.openxmlformats.org/officeDocument/2006/relationships/hyperlink" Target="https://docs.google.com/document/d/1iANp74r-TTepIzObCsS6AT1eFgq9F4faHgYdfDiAIMg/edit?usp=sharing" TargetMode="External"/><Relationship Id="rId60" Type="http://schemas.openxmlformats.org/officeDocument/2006/relationships/hyperlink" Target="https://drive.google.com/file/d/1p0VYigYJj_e9RXpklg_rbi3BNtUI9zMS/view?usp=drive_link" TargetMode="External"/><Relationship Id="rId26" Type="http://schemas.openxmlformats.org/officeDocument/2006/relationships/hyperlink" Target="mailto:davi@fmm.org.br" TargetMode="External"/><Relationship Id="rId25" Type="http://schemas.openxmlformats.org/officeDocument/2006/relationships/hyperlink" Target="https://docs.google.com/document/d/1HLzj4we5Dt7BKryqx2QcrsiuI594lqLTEYz1qZEmXhU/edit?usp=sharing" TargetMode="External"/><Relationship Id="rId69" Type="http://schemas.openxmlformats.org/officeDocument/2006/relationships/hyperlink" Target="https://drive.google.com/open?id=1M2obU-mLR048rf82Y28fDSGQ9K5bKitJ&amp;usp=drive_copy" TargetMode="External"/><Relationship Id="rId28" Type="http://schemas.openxmlformats.org/officeDocument/2006/relationships/hyperlink" Target="https://docs.google.com/document/d/1u0oZQ3wkbCsLdJGlWVZwe51EEBmUGXBIHBT-RdzSxNE/edit?usp=sharing" TargetMode="External"/><Relationship Id="rId27" Type="http://schemas.openxmlformats.org/officeDocument/2006/relationships/hyperlink" Target="https://drive.google.com/file/d/1HxV5t7DU3bCoMIdkI8tVKH3nkFNQKiGv/view?usp=drive_link" TargetMode="External"/><Relationship Id="rId29" Type="http://schemas.openxmlformats.org/officeDocument/2006/relationships/hyperlink" Target="mailto:davi@fmm.org.br" TargetMode="External"/><Relationship Id="rId51" Type="http://schemas.openxmlformats.org/officeDocument/2006/relationships/hyperlink" Target="https://drive.google.com/file/d/1UPucTbSXYxAYTmAh1EE4x0_iKz065Fzt/view?usp=drive_link" TargetMode="External"/><Relationship Id="rId50" Type="http://schemas.openxmlformats.org/officeDocument/2006/relationships/hyperlink" Target="mailto:davi@fmm.org.br" TargetMode="External"/><Relationship Id="rId53" Type="http://schemas.openxmlformats.org/officeDocument/2006/relationships/hyperlink" Target="mailto:davi@fmm.org.br" TargetMode="External"/><Relationship Id="rId52" Type="http://schemas.openxmlformats.org/officeDocument/2006/relationships/hyperlink" Target="https://docs.google.com/document/d/1M5gqSbJeQiOwY4UGCGvpT3u1cJRTBweVL7gweHpjcK0/edit?usp=sharing" TargetMode="External"/><Relationship Id="rId11" Type="http://schemas.openxmlformats.org/officeDocument/2006/relationships/hyperlink" Target="mailto:davi@fmm.org.br" TargetMode="External"/><Relationship Id="rId55" Type="http://schemas.openxmlformats.org/officeDocument/2006/relationships/hyperlink" Target="https://docs.google.com/document/d/1NvoFa2Ar2c6pPIedd61W-nejZNRdC54V5LZUxMO44WQ/edit?usp=sharing" TargetMode="External"/><Relationship Id="rId10" Type="http://schemas.openxmlformats.org/officeDocument/2006/relationships/hyperlink" Target="https://docs.google.com/presentation/d/1ZY6Zk_LY0YY11kq3c3C0Now7TzQ1-Bqk/edit?usp=sharing&amp;ouid=111713423622202995933&amp;rtpof=true&amp;sd=true" TargetMode="External"/><Relationship Id="rId54" Type="http://schemas.openxmlformats.org/officeDocument/2006/relationships/hyperlink" Target="https://drive.google.com/file/d/1ZLAKffGz-FdUDTW4gNX0WjLUkLs453B4/view?usp=drive_link" TargetMode="External"/><Relationship Id="rId13" Type="http://schemas.openxmlformats.org/officeDocument/2006/relationships/hyperlink" Target="https://docs.google.com/presentation/d/1JG52jE5cLoCu8vhzWPJwuyaqWhrJd1pD/edit?usp=sharing&amp;ouid=111713423622202995933&amp;rtpof=true&amp;sd=true" TargetMode="External"/><Relationship Id="rId57" Type="http://schemas.openxmlformats.org/officeDocument/2006/relationships/hyperlink" Target="https://drive.google.com/file/d/10YQspKAKLi3wkLkdoF6QjUQfErgnOl6M/view?usp=drive_link" TargetMode="External"/><Relationship Id="rId12" Type="http://schemas.openxmlformats.org/officeDocument/2006/relationships/hyperlink" Target="https://drive.google.com/open?id=1FX1YCin4LdVNpHRuUZPadofIYqccSXua&amp;usp=drive_fs" TargetMode="External"/><Relationship Id="rId56" Type="http://schemas.openxmlformats.org/officeDocument/2006/relationships/hyperlink" Target="mailto:davi@fmm.org.br" TargetMode="External"/><Relationship Id="rId91" Type="http://schemas.openxmlformats.org/officeDocument/2006/relationships/drawing" Target="../drawings/drawing1.xml"/><Relationship Id="rId90" Type="http://schemas.openxmlformats.org/officeDocument/2006/relationships/hyperlink" Target="https://drive.google.com/file/d/1f3DK26uLpUXdr9RALJ2alqiFE7yxF3FI/view?usp=drive_link" TargetMode="External"/><Relationship Id="rId93" Type="http://schemas.openxmlformats.org/officeDocument/2006/relationships/table" Target="../tables/table1.xml"/><Relationship Id="rId15" Type="http://schemas.openxmlformats.org/officeDocument/2006/relationships/hyperlink" Target="https://drive.google.com/file/d/1ywYZlsh4JZ9LPwvPCwGIC4SHz2TILohb/view?usp=drive_link" TargetMode="External"/><Relationship Id="rId59" Type="http://schemas.openxmlformats.org/officeDocument/2006/relationships/hyperlink" Target="mailto:davi@fmm.org.br" TargetMode="External"/><Relationship Id="rId14" Type="http://schemas.openxmlformats.org/officeDocument/2006/relationships/hyperlink" Target="mailto:davi@fmm.org.br" TargetMode="External"/><Relationship Id="rId58" Type="http://schemas.openxmlformats.org/officeDocument/2006/relationships/hyperlink" Target="https://docs.google.com/document/d/1Lez1CJFQ5H3jYvkEw_Uz2G0KzqNgcCsw2ftO7P3mLs0/edit?usp=sharing" TargetMode="External"/><Relationship Id="rId17" Type="http://schemas.openxmlformats.org/officeDocument/2006/relationships/hyperlink" Target="mailto:davi@fmm.org.br" TargetMode="External"/><Relationship Id="rId16" Type="http://schemas.openxmlformats.org/officeDocument/2006/relationships/hyperlink" Target="https://docs.google.com/presentation/d/14nCa81RB0G19oe7zRwLON5X4R90yQwyc/edit?usp=sharing&amp;ouid=111713423622202995933&amp;rtpof=true&amp;sd=true" TargetMode="External"/><Relationship Id="rId19" Type="http://schemas.openxmlformats.org/officeDocument/2006/relationships/hyperlink" Target="https://docs.google.com/document/d/1JUYB02BAtQfNNfTpC-P2FCfc9XCmIQvqFvjyZPljygw/edit?usp=sharing" TargetMode="External"/><Relationship Id="rId18" Type="http://schemas.openxmlformats.org/officeDocument/2006/relationships/hyperlink" Target="https://drive.google.com/file/d/10-xeU1c0bl9odtksgX1qKlZWvL4VniWF/view?usp=drive_link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m19HtSfBxvMUNK1WmWxZIjbHFkyiCzEv/view?usp=drive_link" TargetMode="External"/><Relationship Id="rId41" Type="http://schemas.openxmlformats.org/officeDocument/2006/relationships/drawing" Target="../drawings/drawing2.xml"/><Relationship Id="rId43" Type="http://schemas.openxmlformats.org/officeDocument/2006/relationships/table" Target="../tables/table2.xml"/><Relationship Id="rId1" Type="http://schemas.openxmlformats.org/officeDocument/2006/relationships/hyperlink" Target="https://docs.google.com/document/d/1OPY8HwqXeUTqT_ryfTQIjUxEkaibeOiq8BuPQO9f3Aw/edit?usp=sharing" TargetMode="External"/><Relationship Id="rId2" Type="http://schemas.openxmlformats.org/officeDocument/2006/relationships/hyperlink" Target="https://drive.google.com/open?id=1OmWaSCwpsQuCpc2kjXzQABGzIe6PQx0Y&amp;usp=drive_copy" TargetMode="External"/><Relationship Id="rId3" Type="http://schemas.openxmlformats.org/officeDocument/2006/relationships/hyperlink" Target="https://docs.google.com/document/d/191Tuxa2-0KiQqW84uyP_8RbpKBHCeWncUFYF1yaAtuY/edit?usp=sharing" TargetMode="External"/><Relationship Id="rId4" Type="http://schemas.openxmlformats.org/officeDocument/2006/relationships/hyperlink" Target="https://drive.google.com/open?id=1w4R1orm5P5uKddMN_L7Bqrmhst4FlhQz&amp;usp=drive_copy" TargetMode="External"/><Relationship Id="rId9" Type="http://schemas.openxmlformats.org/officeDocument/2006/relationships/hyperlink" Target="https://docs.google.com/presentation/d/1aoNdKhL_4CmDpzYm0PyA1-1H6nRnYFsv/edit?usp=sharing&amp;ouid=111713423622202995933&amp;rtpof=true&amp;sd=true" TargetMode="External"/><Relationship Id="rId5" Type="http://schemas.openxmlformats.org/officeDocument/2006/relationships/hyperlink" Target="https://docs.google.com/document/d/1pd62LF0V8o_JsIk_AIjz3iDUED1y57Gb2iswl3AKGIE/edit?usp=sharing" TargetMode="External"/><Relationship Id="rId6" Type="http://schemas.openxmlformats.org/officeDocument/2006/relationships/hyperlink" Target="https://drive.google.com/open?id=1YC4SaM98Pz0mcxfnlwri7HH629QiEfa1&amp;usp=drive_copy" TargetMode="External"/><Relationship Id="rId7" Type="http://schemas.openxmlformats.org/officeDocument/2006/relationships/hyperlink" Target="https://docs.google.com/presentation/d/1X50bZ3CjTj626ZMLNdQ0D0d27C_ODAhp/edit?usp=sharing&amp;ouid=111713423622202995933&amp;rtpof=true&amp;sd=true" TargetMode="External"/><Relationship Id="rId8" Type="http://schemas.openxmlformats.org/officeDocument/2006/relationships/hyperlink" Target="https://drive.google.com/file/d/1f5gUBjWKSMScpY2VnIrQnw8Ykq5_tD7r/view?usp=drive_link" TargetMode="External"/><Relationship Id="rId31" Type="http://schemas.openxmlformats.org/officeDocument/2006/relationships/hyperlink" Target="https://drive.google.com/file/d/1y48PysbDLyIuhRN566_SfWJ1AuKpFQ5z/view?usp=drive_link" TargetMode="External"/><Relationship Id="rId30" Type="http://schemas.openxmlformats.org/officeDocument/2006/relationships/hyperlink" Target="https://docs.google.com/presentation/d/1_o9u8Ock32yNiIfYjKdexqPS6GXq9Orl/edit?usp=sharing&amp;ouid=111713423622202995933&amp;rtpof=true&amp;sd=true" TargetMode="External"/><Relationship Id="rId33" Type="http://schemas.openxmlformats.org/officeDocument/2006/relationships/hyperlink" Target="https://drive.google.com/file/d/1gM1WvTRUZEZuN6ebK7Pnxpe2Cd_yIeLC/view?usp=drive_link" TargetMode="External"/><Relationship Id="rId32" Type="http://schemas.openxmlformats.org/officeDocument/2006/relationships/hyperlink" Target="https://docs.google.com/document/d/1cFnk7ZnikKKZmMWwLXlta7qrB8pOU-rH7bnBySX5GmI/edit?usp=sharing" TargetMode="External"/><Relationship Id="rId35" Type="http://schemas.openxmlformats.org/officeDocument/2006/relationships/hyperlink" Target="https://drive.google.com/file/d/1ebE6WB11-DLs7XkBcSiWQHDnivo8QqOh/view?usp=drive_link" TargetMode="External"/><Relationship Id="rId34" Type="http://schemas.openxmlformats.org/officeDocument/2006/relationships/hyperlink" Target="https://docs.google.com/document/d/1M3c-6f3mzfZhOw3kcwTTSuI5nbzGGrQIdVz1pHnrY94/edit?usp=sharing" TargetMode="External"/><Relationship Id="rId37" Type="http://schemas.openxmlformats.org/officeDocument/2006/relationships/hyperlink" Target="https://docs.google.com/document/d/1NSJbsTS8YmqEC9G9LMccnNq7Brkl-JBYG_Kr684N6_s/edit?usp=sharing" TargetMode="External"/><Relationship Id="rId36" Type="http://schemas.openxmlformats.org/officeDocument/2006/relationships/hyperlink" Target="https://drive.google.com/open?id=1Z0MtRZIaQk71C6uXO321OywS8PhEC36Z&amp;usp=drive_copy" TargetMode="External"/><Relationship Id="rId39" Type="http://schemas.openxmlformats.org/officeDocument/2006/relationships/hyperlink" Target="https://docs.google.com/document/d/1m3VtugeeVM3kMiMswVFXdkYKtu8w7TAkeRNP4dCVnw0/edit?usp=sharing" TargetMode="External"/><Relationship Id="rId38" Type="http://schemas.openxmlformats.org/officeDocument/2006/relationships/hyperlink" Target="https://drive.google.com/file/d/1YDQDyyHH6ALNoc80v7pBwKA6a6BDDVdV/view?usp=drive_link" TargetMode="External"/><Relationship Id="rId20" Type="http://schemas.openxmlformats.org/officeDocument/2006/relationships/hyperlink" Target="https://docs.google.com/document/d/1nm4W5GToOlqeTgzrUFJ9Fxtc7v9wjZA2WhmdUqYSciQ/edit?usp=sharing" TargetMode="External"/><Relationship Id="rId22" Type="http://schemas.openxmlformats.org/officeDocument/2006/relationships/hyperlink" Target="https://docs.google.com/document/d/17W3SuT2tdJOJ1KlFc90YVZWrQTlC1sbreJIeXcq0U6c/edit?usp=sharing" TargetMode="External"/><Relationship Id="rId21" Type="http://schemas.openxmlformats.org/officeDocument/2006/relationships/hyperlink" Target="https://drive.google.com/open?id=14gvwcZUjv-oaes6-iCGBSu2DVyVp6M6e&amp;usp=drive_copy" TargetMode="External"/><Relationship Id="rId24" Type="http://schemas.openxmlformats.org/officeDocument/2006/relationships/hyperlink" Target="https://docs.google.com/document/d/165GMRbIEMpqgX9fQlrf3S8QS8BaD46ThYlEWmumvPgg/edit?usp=sharing" TargetMode="External"/><Relationship Id="rId23" Type="http://schemas.openxmlformats.org/officeDocument/2006/relationships/hyperlink" Target="https://drive.google.com/open?id=1YW9XsxzH8Tb9DuGS482IC44HW9sgcKcV&amp;usp=drive_copy" TargetMode="External"/><Relationship Id="rId26" Type="http://schemas.openxmlformats.org/officeDocument/2006/relationships/hyperlink" Target="https://docs.google.com/presentation/d/1lJxw8A-7enXxROj3E2Hi2gO_KmgRbQET/edit?usp=sharing&amp;ouid=111713423622202995933&amp;rtpof=true&amp;sd=true" TargetMode="External"/><Relationship Id="rId25" Type="http://schemas.openxmlformats.org/officeDocument/2006/relationships/hyperlink" Target="https://drive.google.com/open?id=1Y6ps5lrA7z7R8bxFwOzzKHxvdvy-vcQ2&amp;usp=drive_copy" TargetMode="External"/><Relationship Id="rId28" Type="http://schemas.openxmlformats.org/officeDocument/2006/relationships/hyperlink" Target="https://docs.google.com/presentation/d/12olK0VdCoBEw4KY8LWFZ-0ccyzbdWjP5/edit?usp=sharing&amp;ouid=111713423622202995933&amp;rtpof=true&amp;sd=true" TargetMode="External"/><Relationship Id="rId27" Type="http://schemas.openxmlformats.org/officeDocument/2006/relationships/hyperlink" Target="https://drive.google.com/file/d/1CZvIuWR6tcUpJR31eX5UEde_10WFcWBP/view?usp=drive_link" TargetMode="External"/><Relationship Id="rId29" Type="http://schemas.openxmlformats.org/officeDocument/2006/relationships/hyperlink" Target="https://drive.google.com/file/d/1W6NCV8xkq3MqwXLJEyXlVejqLJgUMRMa/view?usp=drive_link" TargetMode="External"/><Relationship Id="rId11" Type="http://schemas.openxmlformats.org/officeDocument/2006/relationships/hyperlink" Target="https://docs.google.com/presentation/d/196G2GAHojAMD3hy2Hoi2XY7dY9fJQP5v/edit?usp=sharing&amp;ouid=111713423622202995933&amp;rtpof=true&amp;sd=true" TargetMode="External"/><Relationship Id="rId10" Type="http://schemas.openxmlformats.org/officeDocument/2006/relationships/hyperlink" Target="https://drive.google.com/file/d/1b9z8NsMM-gZPZig3K1ZqKMyyTnNxYRto/view?usp=drive_link" TargetMode="External"/><Relationship Id="rId13" Type="http://schemas.openxmlformats.org/officeDocument/2006/relationships/hyperlink" Target="https://docs.google.com/document/d/19KqM1MPMW-_48h2DxJzMdHo_c91W-2Tet9rxuwIYX1Y/edit?usp=sharing" TargetMode="External"/><Relationship Id="rId12" Type="http://schemas.openxmlformats.org/officeDocument/2006/relationships/hyperlink" Target="https://drive.google.com/file/d/1qCdtF5jpA9emOcsHmQA_Vf-cunHVv2yq/view?usp=drive_link" TargetMode="External"/><Relationship Id="rId15" Type="http://schemas.openxmlformats.org/officeDocument/2006/relationships/hyperlink" Target="https://docs.google.com/document/d/1T1xCE7dewNTYk4erkFFj9JFthgcmTZVktQriWqIK6aQ/edit?usp=sharing" TargetMode="External"/><Relationship Id="rId14" Type="http://schemas.openxmlformats.org/officeDocument/2006/relationships/hyperlink" Target="https://drive.google.com/file/d/1A1Smng5LpcjjoJ-4syrPYb4JVc4PGtBu/view?usp=drive_link" TargetMode="External"/><Relationship Id="rId17" Type="http://schemas.openxmlformats.org/officeDocument/2006/relationships/hyperlink" Target="https://drive.google.com/open?id=1cSuvqFKOFY-DIFS5qhuGpZHZfaC4NtXL&amp;usp=drive_copy" TargetMode="External"/><Relationship Id="rId16" Type="http://schemas.openxmlformats.org/officeDocument/2006/relationships/hyperlink" Target="https://drive.google.com/file/d/1iml5MupyU8YuocdZZZvOt8UP9DCnCb5g/view?usp=drive_link" TargetMode="External"/><Relationship Id="rId19" Type="http://schemas.openxmlformats.org/officeDocument/2006/relationships/hyperlink" Target="https://drive.google.com/file/d/1CX7y5i9IQ5Kx80aEKG1yXVECmon8bFJA/view?usp=drive_link" TargetMode="External"/><Relationship Id="rId18" Type="http://schemas.openxmlformats.org/officeDocument/2006/relationships/hyperlink" Target="https://docs.google.com/document/d/12TEGI2UXzXdgrz44D6z8UxEH5LMD1NzObbjkTIs-UFQ/edit?usp=sharing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rZIHj7wGJEdE5bmvhexbuldVv1NgdFo_7GbwjOWMujA/edit?usp=sharing" TargetMode="External"/><Relationship Id="rId84" Type="http://schemas.openxmlformats.org/officeDocument/2006/relationships/drawing" Target="../drawings/drawing3.xml"/><Relationship Id="rId83" Type="http://schemas.openxmlformats.org/officeDocument/2006/relationships/hyperlink" Target="https://drive.google.com/file/d/1JO47vYpOsPsK1Floo3ISEBqYonC_Gr9G/view?usp=sharing" TargetMode="External"/><Relationship Id="rId42" Type="http://schemas.openxmlformats.org/officeDocument/2006/relationships/hyperlink" Target="https://docs.google.com/document/d/1UKy6TUsVW9jpX_DTvS9inNUfcvfth9gU_BsRKvIBHrY/edit?usp=sharing" TargetMode="External"/><Relationship Id="rId86" Type="http://schemas.openxmlformats.org/officeDocument/2006/relationships/table" Target="../tables/table3.xml"/><Relationship Id="rId41" Type="http://schemas.openxmlformats.org/officeDocument/2006/relationships/hyperlink" Target="https://drive.google.com/file/d/1LiOfICzdKxYWwjO_SHW6B65dJjJMf4Ah/view?usp=sharing" TargetMode="External"/><Relationship Id="rId44" Type="http://schemas.openxmlformats.org/officeDocument/2006/relationships/hyperlink" Target="https://docs.google.com/presentation/d/1_f0iFh2CQfmtwGS8Ys-6YxJ11lRNjzZH/edit?usp=sharing&amp;ouid=111713423622202995933&amp;rtpof=true&amp;sd=true" TargetMode="External"/><Relationship Id="rId43" Type="http://schemas.openxmlformats.org/officeDocument/2006/relationships/hyperlink" Target="https://drive.google.com/file/d/1lzzCcDiNbPiVMW-1LJGreWlxuI1w6Wke/view?usp=sharing" TargetMode="External"/><Relationship Id="rId46" Type="http://schemas.openxmlformats.org/officeDocument/2006/relationships/hyperlink" Target="https://docs.google.com/presentation/d/14bEBDy2tkIZbZ2LXKGjouh9_LY1pbyek/edit?usp=sharing&amp;ouid=111713423622202995933&amp;rtpof=true&amp;sd=true" TargetMode="External"/><Relationship Id="rId45" Type="http://schemas.openxmlformats.org/officeDocument/2006/relationships/hyperlink" Target="https://drive.google.com/file/d/1pxbqbLbDkgsntHX2kZVYbAi2rCFn4bII/view?usp=sharing" TargetMode="External"/><Relationship Id="rId80" Type="http://schemas.openxmlformats.org/officeDocument/2006/relationships/hyperlink" Target="https://docs.google.com/document/d/1P_adrn3oPiozjv4Fs1qvBsv38UpkJuA6zVfCyaU93UM/edit?usp=sharing" TargetMode="External"/><Relationship Id="rId82" Type="http://schemas.openxmlformats.org/officeDocument/2006/relationships/hyperlink" Target="https://docs.google.com/document/d/1IiExvuAsCoh9UDKEzxisAeuuKvQFYfCLGMnP1HV6jzs/edit?usp=sharing" TargetMode="External"/><Relationship Id="rId81" Type="http://schemas.openxmlformats.org/officeDocument/2006/relationships/hyperlink" Target="https://drive.google.com/file/d/1WHURBBI-_iSDEH5hQUFhU6Swjggz6sjq/view?usp=sharing" TargetMode="External"/><Relationship Id="rId1" Type="http://schemas.openxmlformats.org/officeDocument/2006/relationships/hyperlink" Target="https://docs.google.com/document/d/1Om2aFH-JtUsdZwzpviB2XT69c5FeOgzoCMwIK-LKVKs/edit?usp=sharing" TargetMode="External"/><Relationship Id="rId2" Type="http://schemas.openxmlformats.org/officeDocument/2006/relationships/hyperlink" Target="https://drive.google.com/file/d/15NvixJ2Jj04fNyt5LNTcHwhxAlB1cTxM/view?usp=sharing" TargetMode="External"/><Relationship Id="rId3" Type="http://schemas.openxmlformats.org/officeDocument/2006/relationships/hyperlink" Target="https://docs.google.com/document/d/1zX6o6LdazTjWFbZfvDQhrlx40kCeuqU-pFeIwkqg56E/edit?usp=sharing" TargetMode="External"/><Relationship Id="rId4" Type="http://schemas.openxmlformats.org/officeDocument/2006/relationships/hyperlink" Target="https://drive.google.com/file/d/1CWIKU3nedi6G3RE9tkRn74MIsLh1kc_y/view?usp=sharing" TargetMode="External"/><Relationship Id="rId9" Type="http://schemas.openxmlformats.org/officeDocument/2006/relationships/hyperlink" Target="https://docs.google.com/document/d/1a5beLlE815yI56xXb7nkAU2uxQVMRRXeXkg1_09xVsU/edit?usp=sharing" TargetMode="External"/><Relationship Id="rId48" Type="http://schemas.openxmlformats.org/officeDocument/2006/relationships/hyperlink" Target="https://docs.google.com/presentation/d/1lY0z6wzKIPUCVF1YGVgURdIcMTEcTPsE/edit?usp=sharing&amp;ouid=111713423622202995933&amp;rtpof=true&amp;sd=true" TargetMode="External"/><Relationship Id="rId47" Type="http://schemas.openxmlformats.org/officeDocument/2006/relationships/hyperlink" Target="https://drive.google.com/file/d/1IlSy0vwi4D_L3OHED2vP-qVjMrPfNrRJ/view?usp=sharing" TargetMode="External"/><Relationship Id="rId49" Type="http://schemas.openxmlformats.org/officeDocument/2006/relationships/hyperlink" Target="https://drive.google.com/file/d/1vQmKbe1TaANtFIOcXsRf5DAi4km7FcDZ/view?usp=sharing" TargetMode="External"/><Relationship Id="rId5" Type="http://schemas.openxmlformats.org/officeDocument/2006/relationships/hyperlink" Target="https://docs.google.com/document/d/1cCvSv5jbz5JflFS8VJJVN1O-_QgVec4Jqr1X2aGz1LM/edit?usp=sharing" TargetMode="External"/><Relationship Id="rId6" Type="http://schemas.openxmlformats.org/officeDocument/2006/relationships/hyperlink" Target="https://drive.google.com/file/d/1TrZNuHNqlUJF41dvEL37ClfsvdDpoh9f/view?usp=sharing" TargetMode="External"/><Relationship Id="rId7" Type="http://schemas.openxmlformats.org/officeDocument/2006/relationships/hyperlink" Target="https://docs.google.com/document/d/1bJsP4GLGXG-qJO84l6Hv79a8cP3y2jcX258VHmNkMf8/edit?usp=sharing" TargetMode="External"/><Relationship Id="rId8" Type="http://schemas.openxmlformats.org/officeDocument/2006/relationships/hyperlink" Target="https://drive.google.com/file/d/1G5U-lUsGTfkfJLV8bfql1hLn3PbGZCck/view?usp=sharing" TargetMode="External"/><Relationship Id="rId73" Type="http://schemas.openxmlformats.org/officeDocument/2006/relationships/hyperlink" Target="https://docs.google.com/presentation/d/1b5MdrJa9c7xqpj1NbUcuR0cotamGsdYI/edit?usp=drive_link&amp;ouid=105463591524446090893&amp;rtpof=true&amp;sd=true" TargetMode="External"/><Relationship Id="rId72" Type="http://schemas.openxmlformats.org/officeDocument/2006/relationships/hyperlink" Target="https://drive.google.com/file/d/18auGTtnJesWuekvxhdCIx6EgQHNNIMjS/view?usp=sharing" TargetMode="External"/><Relationship Id="rId31" Type="http://schemas.openxmlformats.org/officeDocument/2006/relationships/hyperlink" Target="https://drive.google.com/file/d/1ew8YDGAk_Q7wFDig3rWxMJMJfWmwEh-x/view?usp=sharing" TargetMode="External"/><Relationship Id="rId75" Type="http://schemas.openxmlformats.org/officeDocument/2006/relationships/hyperlink" Target="https://docs.google.com/document/d/19etcwjLv3t7-O1gUQeh4Aq5R0U4N_-c5Haa2KP-dqs0/edit?usp=sharing" TargetMode="External"/><Relationship Id="rId30" Type="http://schemas.openxmlformats.org/officeDocument/2006/relationships/hyperlink" Target="https://docs.google.com/document/d/19Zchjzxg1FxW2MykorWtOshVqyTrPDcGtOxab2jbULo/edit?usp=sharing" TargetMode="External"/><Relationship Id="rId74" Type="http://schemas.openxmlformats.org/officeDocument/2006/relationships/hyperlink" Target="https://drive.google.com/file/d/1BssS0mY3p1PWSRL3XYOmiRjyX3MQ2Kvi/view?usp=sharing" TargetMode="External"/><Relationship Id="rId33" Type="http://schemas.openxmlformats.org/officeDocument/2006/relationships/hyperlink" Target="https://drive.google.com/file/d/1zaG3rxtCBoeRLl7WaeL3XHGjSPES6HHk/view?usp=sharing" TargetMode="External"/><Relationship Id="rId77" Type="http://schemas.openxmlformats.org/officeDocument/2006/relationships/hyperlink" Target="https://docs.google.com/document/d/17Mici81x7DS_tZBGrttsdP4ul5fhoXaKiYzr4Mvmme0/edit?usp=sharing" TargetMode="External"/><Relationship Id="rId32" Type="http://schemas.openxmlformats.org/officeDocument/2006/relationships/hyperlink" Target="https://docs.google.com/document/d/1MVk4EXkSK-D3c-0nzUdM5yZDFLFSTN9NDjamSsCiMHo/edit?usp=sharing" TargetMode="External"/><Relationship Id="rId76" Type="http://schemas.openxmlformats.org/officeDocument/2006/relationships/hyperlink" Target="https://drive.google.com/file/d/1Z3snSo2l1eLeW7KfuRLZYW2jpK6BAkWn/view?usp=sharing" TargetMode="External"/><Relationship Id="rId35" Type="http://schemas.openxmlformats.org/officeDocument/2006/relationships/hyperlink" Target="https://drive.google.com/file/d/12FqdTML7YKccDbjSV710M75GGDymElM4/view?usp=sharing" TargetMode="External"/><Relationship Id="rId79" Type="http://schemas.openxmlformats.org/officeDocument/2006/relationships/hyperlink" Target="https://drive.google.com/file/d/15eLxegtS-o_AyNa1gtaOru2lVTBNWbqd/view?usp=sharing" TargetMode="External"/><Relationship Id="rId34" Type="http://schemas.openxmlformats.org/officeDocument/2006/relationships/hyperlink" Target="https://docs.google.com/document/d/1p1fOL2tnLxJkiENxyNbSNegVQyxRmKJBcsgSdUfsgXA/edit?usp=sharing" TargetMode="External"/><Relationship Id="rId78" Type="http://schemas.openxmlformats.org/officeDocument/2006/relationships/hyperlink" Target="https://drive.google.com/file/d/1uSmyIxxuYlNi7dpq16JBchSfuxMb_je3/view?usp=sharing" TargetMode="External"/><Relationship Id="rId71" Type="http://schemas.openxmlformats.org/officeDocument/2006/relationships/hyperlink" Target="https://docs.google.com/presentation/d/1JO1QXQgZbZ0XbFXDJnz-i3JLw4Hi331R/edit?usp=sharing&amp;ouid=111713423622202995933&amp;rtpof=true&amp;sd=true" TargetMode="External"/><Relationship Id="rId70" Type="http://schemas.openxmlformats.org/officeDocument/2006/relationships/hyperlink" Target="https://drive.google.com/file/d/1EBBJtQ1j5vBZdEth7NsSoHZwuQstiGT8/view?usp=sharing" TargetMode="External"/><Relationship Id="rId37" Type="http://schemas.openxmlformats.org/officeDocument/2006/relationships/hyperlink" Target="https://drive.google.com/file/d/1GUsohwWCJciXLN-twghhLxxih0FQUE6f/view?usp=sharing" TargetMode="External"/><Relationship Id="rId36" Type="http://schemas.openxmlformats.org/officeDocument/2006/relationships/hyperlink" Target="https://docs.google.com/document/d/1Xb78whQYrbqtVwTVpztwDfeh8ZsC6UWFgjCvzcNWc6M/edit?usp=sharing" TargetMode="External"/><Relationship Id="rId39" Type="http://schemas.openxmlformats.org/officeDocument/2006/relationships/hyperlink" Target="https://drive.google.com/file/d/1XxMLLlerb09Jrn0ybQjR_9yIGVa_TgpW/view?usp=sharing" TargetMode="External"/><Relationship Id="rId38" Type="http://schemas.openxmlformats.org/officeDocument/2006/relationships/hyperlink" Target="https://docs.google.com/document/d/155GNLeDlPCOk8CJZWP4U5V1OvNzV9F6hCxzHGFd9qyQ/edit?usp=sharing" TargetMode="External"/><Relationship Id="rId62" Type="http://schemas.openxmlformats.org/officeDocument/2006/relationships/hyperlink" Target="https://drive.google.com/file/d/1jMpIsj-B9MZZtMXrMwGMR1DffPQuwLBA/view?usp=sharing" TargetMode="External"/><Relationship Id="rId61" Type="http://schemas.openxmlformats.org/officeDocument/2006/relationships/hyperlink" Target="https://docs.google.com/document/d/1crsONe-qM_IU6-AHrmo_zYdbj_gv2OwKkEr7hMTlnMY/edit?usp=sharing" TargetMode="External"/><Relationship Id="rId20" Type="http://schemas.openxmlformats.org/officeDocument/2006/relationships/hyperlink" Target="https://drive.google.com/file/d/17Di5Hu_F4wQg-vMKn9mtpZWnahJ1-r7k/view?usp=sharing" TargetMode="External"/><Relationship Id="rId64" Type="http://schemas.openxmlformats.org/officeDocument/2006/relationships/hyperlink" Target="https://drive.google.com/file/d/1Xb3zlvVj32TR6G5aWo8yDzjL0r6_1AUD/view?usp=sharing" TargetMode="External"/><Relationship Id="rId63" Type="http://schemas.openxmlformats.org/officeDocument/2006/relationships/hyperlink" Target="https://docs.google.com/document/d/19Xhv6XIC1UxyglDKCkHpdkO53jPPvJVPkz6jVDY9TCk/edit?usp=sharing" TargetMode="External"/><Relationship Id="rId22" Type="http://schemas.openxmlformats.org/officeDocument/2006/relationships/hyperlink" Target="https://drive.google.com/file/d/1-NP62KhpxNyff4-AHm-dEgJBvaTMmq3o/view?usp=sharing" TargetMode="External"/><Relationship Id="rId66" Type="http://schemas.openxmlformats.org/officeDocument/2006/relationships/hyperlink" Target="https://drive.google.com/file/d/1NvvxZ7lJz_JoCKBcDhyUfh_OQMG3PSRu/view?usp=sharing" TargetMode="External"/><Relationship Id="rId21" Type="http://schemas.openxmlformats.org/officeDocument/2006/relationships/hyperlink" Target="https://docs.google.com/presentation/d/14n5dX7vP9S0Z3yHIPfBYb63jYB3sUUWe/edit?usp=sharing&amp;ouid=111713423622202995933&amp;rtpof=true&amp;sd=true" TargetMode="External"/><Relationship Id="rId65" Type="http://schemas.openxmlformats.org/officeDocument/2006/relationships/hyperlink" Target="https://docs.google.com/document/d/1o8-K7Weignsm5H1fnmi55lXfYEW5GFlbBbOFXjFUDHY/edit?usp=sharing" TargetMode="External"/><Relationship Id="rId24" Type="http://schemas.openxmlformats.org/officeDocument/2006/relationships/hyperlink" Target="https://drive.google.com/file/d/1EUl5KWQcuDsejzyw0wAZOBWrsSV2NhFw/view?usp=sharing" TargetMode="External"/><Relationship Id="rId68" Type="http://schemas.openxmlformats.org/officeDocument/2006/relationships/hyperlink" Target="https://drive.google.com/file/d/1bcdNHWOE6NBV9KwPA5-_o99oyBPtgr8C/view?usp=sharing" TargetMode="External"/><Relationship Id="rId23" Type="http://schemas.openxmlformats.org/officeDocument/2006/relationships/hyperlink" Target="https://docs.google.com/presentation/d/1h43n3Dz5RfDTAPnSRfOiE7lbZL8U6PIq/edit?usp=sharing&amp;ouid=111713423622202995933&amp;rtpof=true&amp;sd=true" TargetMode="External"/><Relationship Id="rId67" Type="http://schemas.openxmlformats.org/officeDocument/2006/relationships/hyperlink" Target="https://docs.google.com/document/d/119Zr2FT16jLerbzy7DwphbNCxp-AlzU3yOKnhyABgxY/edit?usp=sharing" TargetMode="External"/><Relationship Id="rId60" Type="http://schemas.openxmlformats.org/officeDocument/2006/relationships/hyperlink" Target="https://drive.google.com/file/d/1MDww1fvdMg1Bhvc0pvggf2JPy-1ZvyrB/view?usp=sharing" TargetMode="External"/><Relationship Id="rId26" Type="http://schemas.openxmlformats.org/officeDocument/2006/relationships/hyperlink" Target="https://drive.google.com/file/d/1Sj_mZhWp9cQqF3kTY3icTs2FxYqOMqlV/view?usp=sharing" TargetMode="External"/><Relationship Id="rId25" Type="http://schemas.openxmlformats.org/officeDocument/2006/relationships/hyperlink" Target="https://docs.google.com/document/d/1htKrlvidXr1zZh5xqmZwdJOLz-Zfv6ZjemgIRm0E27w/edit?usp=sharing" TargetMode="External"/><Relationship Id="rId69" Type="http://schemas.openxmlformats.org/officeDocument/2006/relationships/hyperlink" Target="https://docs.google.com/presentation/d/1Yl2Ctk04t2iGVnkRAYjSCXCql9rWswVV/edit?usp=sharing&amp;ouid=111713423622202995933&amp;rtpof=true&amp;sd=true" TargetMode="External"/><Relationship Id="rId28" Type="http://schemas.openxmlformats.org/officeDocument/2006/relationships/hyperlink" Target="https://drive.google.com/file/d/1SznHH7TDtujV3FukqiCss4HT9zKq1WK4/view?usp=sharing" TargetMode="External"/><Relationship Id="rId27" Type="http://schemas.openxmlformats.org/officeDocument/2006/relationships/hyperlink" Target="https://docs.google.com/document/d/1TSpFcO47EIuuc68se7bSutJbV1q_dVm5eE275UdQ3KA/edit?usp=sharing" TargetMode="External"/><Relationship Id="rId29" Type="http://schemas.openxmlformats.org/officeDocument/2006/relationships/hyperlink" Target="https://drive.google.com/file/d/1ID7Pbow4tT81rniq9qTk1xv0rVYdoL0M/view?usp=sharing" TargetMode="External"/><Relationship Id="rId51" Type="http://schemas.openxmlformats.org/officeDocument/2006/relationships/hyperlink" Target="https://drive.google.com/file/d/1Vry00fHL5gP9ZY4i1wi-GFrWK9YjW7vc/view?usp=sharing" TargetMode="External"/><Relationship Id="rId50" Type="http://schemas.openxmlformats.org/officeDocument/2006/relationships/hyperlink" Target="https://docs.google.com/presentation/d/1eZ2GQhrINILmwmJ20ihkQvkQC9hR_OO1/edit?usp=sharing&amp;ouid=111713423622202995933&amp;rtpof=true&amp;sd=true" TargetMode="External"/><Relationship Id="rId53" Type="http://schemas.openxmlformats.org/officeDocument/2006/relationships/hyperlink" Target="https://drive.google.com/file/d/1zDelEZwLPxpTpEhL0vVzUSE_HpHx8R9f/view?usp=sharing" TargetMode="External"/><Relationship Id="rId52" Type="http://schemas.openxmlformats.org/officeDocument/2006/relationships/hyperlink" Target="https://docs.google.com/presentation/d/1eFUmM45d-A7CZfyIUO3NhB9gpXzCPmBX/edit?usp=sharing&amp;ouid=111713423622202995933&amp;rtpof=true&amp;sd=true" TargetMode="External"/><Relationship Id="rId11" Type="http://schemas.openxmlformats.org/officeDocument/2006/relationships/hyperlink" Target="https://docs.google.com/document/d/1DYLLrHiuET3ZlK6m7M4cLPT3_r4ePANI4YJrkvUm7pw/edit?usp=sharing" TargetMode="External"/><Relationship Id="rId55" Type="http://schemas.openxmlformats.org/officeDocument/2006/relationships/hyperlink" Target="https://drive.google.com/file/d/1ZPu7S3F1JCr7-BwC-FE6yr3SIYhdPDTi/view?usp=sharing" TargetMode="External"/><Relationship Id="rId10" Type="http://schemas.openxmlformats.org/officeDocument/2006/relationships/hyperlink" Target="https://drive.google.com/file/d/1jORK9frFeJaQgkewewqzszYBUj684GrE/view?usp=sharing" TargetMode="External"/><Relationship Id="rId54" Type="http://schemas.openxmlformats.org/officeDocument/2006/relationships/hyperlink" Target="https://docs.google.com/document/d/11ubmn4HnnEXcyn_WAjOuIR5ZMmIQuOMuJ5VWIkyTCkE/edit?usp=sharing" TargetMode="External"/><Relationship Id="rId13" Type="http://schemas.openxmlformats.org/officeDocument/2006/relationships/hyperlink" Target="https://docs.google.com/presentation/d/1Zg7clL1AgjGv3ipce5-agkKZuwygWf84/edit?usp=sharing&amp;ouid=111713423622202995933&amp;rtpof=true&amp;sd=true" TargetMode="External"/><Relationship Id="rId57" Type="http://schemas.openxmlformats.org/officeDocument/2006/relationships/hyperlink" Target="https://drive.google.com/file/d/1s3z3jwBIY_S_V9V1crXbbyDKwlq2DGtq/view?usp=sharing" TargetMode="External"/><Relationship Id="rId12" Type="http://schemas.openxmlformats.org/officeDocument/2006/relationships/hyperlink" Target="https://drive.google.com/file/d/16u7rWlvkgZ_0jGXSydm7ohr3YaILT4yc/view?usp=sharing" TargetMode="External"/><Relationship Id="rId56" Type="http://schemas.openxmlformats.org/officeDocument/2006/relationships/hyperlink" Target="https://docs.google.com/document/d/16NYufjHsaBfR4zbSk7oVw2-dblLpDwlIPcciIg0YbkY/edit?usp=sharing" TargetMode="External"/><Relationship Id="rId15" Type="http://schemas.openxmlformats.org/officeDocument/2006/relationships/hyperlink" Target="https://docs.google.com/presentation/d/1fD38WbS8-BfB6srOf4GHZ1z1MPuS88kC/edit?usp=sharing&amp;ouid=111713423622202995933&amp;rtpof=true&amp;sd=true" TargetMode="External"/><Relationship Id="rId59" Type="http://schemas.openxmlformats.org/officeDocument/2006/relationships/hyperlink" Target="https://docs.google.com/document/d/1RZBY8sv5Buto5nQJeDdE1c7oIcKX0vcbgxxfUQucmmA/edit?usp=sharing" TargetMode="External"/><Relationship Id="rId14" Type="http://schemas.openxmlformats.org/officeDocument/2006/relationships/hyperlink" Target="https://drive.google.com/file/d/1qf9dpvZsySigo27clp4RL29yGSq7Hggn/view?usp=sharing" TargetMode="External"/><Relationship Id="rId58" Type="http://schemas.openxmlformats.org/officeDocument/2006/relationships/hyperlink" Target="https://drive.google.com/file/d/1kliugkeedUGp-IG4NUQ1ECsdqf_Hj_8P/view?usp=sharing" TargetMode="External"/><Relationship Id="rId17" Type="http://schemas.openxmlformats.org/officeDocument/2006/relationships/hyperlink" Target="https://docs.google.com/presentation/d/1M4pRmoYFfaSrff_jczpDFVDRxeKEAA4M/edit?usp=sharing&amp;ouid=111713423622202995933&amp;rtpof=true&amp;sd=true" TargetMode="External"/><Relationship Id="rId16" Type="http://schemas.openxmlformats.org/officeDocument/2006/relationships/hyperlink" Target="https://drive.google.com/file/d/1hY4ZGBak9iTXfavKED5MCHsBe7xg2P-V/view?usp=sharing" TargetMode="External"/><Relationship Id="rId19" Type="http://schemas.openxmlformats.org/officeDocument/2006/relationships/hyperlink" Target="https://docs.google.com/presentation/d/1AXNgyzXl_VXhE1HqrJacnJ-6pcgXohXZ/edit?usp=sharing&amp;ouid=111713423622202995933&amp;rtpof=true&amp;sd=true" TargetMode="External"/><Relationship Id="rId18" Type="http://schemas.openxmlformats.org/officeDocument/2006/relationships/hyperlink" Target="https://drive.google.com/file/d/10rJ9QZVAwXnebZqEIN3tSjm-mxkU3rc2/view?usp=sharing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mailto:andressa.alves@irede.org.br" TargetMode="External"/><Relationship Id="rId42" Type="http://schemas.openxmlformats.org/officeDocument/2006/relationships/hyperlink" Target="https://docs.google.com/presentation/d/1L5i66cfBFXtq92TzKX7IJQgO-v_mTcyT/edit?usp=sharing&amp;ouid=111713423622202995933&amp;rtpof=true&amp;sd=true" TargetMode="External"/><Relationship Id="rId41" Type="http://schemas.openxmlformats.org/officeDocument/2006/relationships/hyperlink" Target="https://drive.google.com/open?id=1DreceV-uq4eddMZIKav2lEvALrRkVAUO&amp;usp=drive_fs" TargetMode="External"/><Relationship Id="rId44" Type="http://schemas.openxmlformats.org/officeDocument/2006/relationships/hyperlink" Target="https://drive.google.com/open?id=1dHfMEEoUwuU5MH_bDum7B4oTefpE7Wwg&amp;usp=drive_fs" TargetMode="External"/><Relationship Id="rId43" Type="http://schemas.openxmlformats.org/officeDocument/2006/relationships/hyperlink" Target="mailto:andressa.alves@irede.org.br" TargetMode="External"/><Relationship Id="rId46" Type="http://schemas.openxmlformats.org/officeDocument/2006/relationships/hyperlink" Target="mailto:andressa.alves@irede.org.br" TargetMode="External"/><Relationship Id="rId45" Type="http://schemas.openxmlformats.org/officeDocument/2006/relationships/hyperlink" Target="https://docs.google.com/presentation/d/1z8hLF5C3_-dvIYOOsyh7wd-O5aVPnb8c/edit?usp=sharing&amp;ouid=111713423622202995933&amp;rtpof=true&amp;sd=true" TargetMode="External"/><Relationship Id="rId107" Type="http://schemas.openxmlformats.org/officeDocument/2006/relationships/hyperlink" Target="mailto:andressa.alves@irede.org.br" TargetMode="External"/><Relationship Id="rId106" Type="http://schemas.openxmlformats.org/officeDocument/2006/relationships/hyperlink" Target="https://docs.google.com/document/d/1QDEALW5l3Ra0jtRb0fPEzK4bmH1R-V0vNIroDyxdGVE/edit?usp=sharing" TargetMode="External"/><Relationship Id="rId105" Type="http://schemas.openxmlformats.org/officeDocument/2006/relationships/hyperlink" Target="https://drive.google.com/open?id=1_szVpDJwCJ5eltJCDl-fYSY6OxC0eZS6&amp;usp=drive_fs" TargetMode="External"/><Relationship Id="rId104" Type="http://schemas.openxmlformats.org/officeDocument/2006/relationships/hyperlink" Target="mailto:andressa.alves@irede.org.br" TargetMode="External"/><Relationship Id="rId109" Type="http://schemas.openxmlformats.org/officeDocument/2006/relationships/hyperlink" Target="https://docs.google.com/document/d/1lDXGAkukXfJbEwsRvtG-naS8RcYRWfyDuadhjtOSyy8/edit?usp=sharing" TargetMode="External"/><Relationship Id="rId108" Type="http://schemas.openxmlformats.org/officeDocument/2006/relationships/hyperlink" Target="https://drive.google.com/open?id=1lsvw4PyB-1Szq_n7ovQHn_1-jit0vi8P&amp;usp=drive_fs" TargetMode="External"/><Relationship Id="rId48" Type="http://schemas.openxmlformats.org/officeDocument/2006/relationships/hyperlink" Target="https://docs.google.com/document/d/1vqrjxyJM4ZNG3SczvpjM0fdv6yxXC3fWVCXiqiynU9k/edit?usp=sharing" TargetMode="External"/><Relationship Id="rId47" Type="http://schemas.openxmlformats.org/officeDocument/2006/relationships/hyperlink" Target="https://drive.google.com/open?id=1PYYBsKLzZ1XPI6UAxJJagFUdR2Swr-a0&amp;usp=drive_fs" TargetMode="External"/><Relationship Id="rId49" Type="http://schemas.openxmlformats.org/officeDocument/2006/relationships/hyperlink" Target="mailto:andressa.alves@irede.org.br" TargetMode="External"/><Relationship Id="rId103" Type="http://schemas.openxmlformats.org/officeDocument/2006/relationships/hyperlink" Target="https://docs.google.com/presentation/d/1CPrtpWqde45tkTc7AAIkJTQ-iI_npL1a/edit?usp=sharing&amp;ouid=111713423622202995933&amp;rtpof=true&amp;sd=true" TargetMode="External"/><Relationship Id="rId102" Type="http://schemas.openxmlformats.org/officeDocument/2006/relationships/hyperlink" Target="https://drive.google.com/open?id=12p9beo0tkxtevtT1DR_M5xijif_6-ctq&amp;usp=drive_fs" TargetMode="External"/><Relationship Id="rId101" Type="http://schemas.openxmlformats.org/officeDocument/2006/relationships/hyperlink" Target="mailto:andressa.alves@irede.org.br" TargetMode="External"/><Relationship Id="rId100" Type="http://schemas.openxmlformats.org/officeDocument/2006/relationships/hyperlink" Target="https://docs.google.com/presentation/d/1HEIjXBea_DWlikDcj_jGQbmNLslxe1pC/edit?usp=sharing&amp;ouid=111713423622202995933&amp;rtpof=true&amp;sd=true" TargetMode="External"/><Relationship Id="rId31" Type="http://schemas.openxmlformats.org/officeDocument/2006/relationships/hyperlink" Target="mailto:italo.marques@irede.org.br" TargetMode="External"/><Relationship Id="rId30" Type="http://schemas.openxmlformats.org/officeDocument/2006/relationships/hyperlink" Target="https://docs.google.com/document/d/10gf4BBAtRuak0RMh-1fbpRX_E3HCZ8CE4TN2y328TEI/edit?usp=sharing" TargetMode="External"/><Relationship Id="rId33" Type="http://schemas.openxmlformats.org/officeDocument/2006/relationships/hyperlink" Target="https://docs.google.com/document/d/1zTAHXHWsB4pmetu8WVsq6ZM017U3dhVJBPVDGj8Ljko/edit?usp=sharing" TargetMode="External"/><Relationship Id="rId32" Type="http://schemas.openxmlformats.org/officeDocument/2006/relationships/hyperlink" Target="https://drive.google.com/open?id=1pqKioE4bfBqRMCYrI8XdQx9h1_TkL0LM&amp;usp=drive_copy" TargetMode="External"/><Relationship Id="rId35" Type="http://schemas.openxmlformats.org/officeDocument/2006/relationships/hyperlink" Target="https://drive.google.com/open?id=1RfrK0Ql9ByQ3a30-Zkerpa2gdH3WsQMS&amp;usp=drive_copy" TargetMode="External"/><Relationship Id="rId34" Type="http://schemas.openxmlformats.org/officeDocument/2006/relationships/hyperlink" Target="mailto:italo.marques@irede.org.br" TargetMode="External"/><Relationship Id="rId37" Type="http://schemas.openxmlformats.org/officeDocument/2006/relationships/hyperlink" Target="mailto:italo.marques@irede.org.br" TargetMode="External"/><Relationship Id="rId36" Type="http://schemas.openxmlformats.org/officeDocument/2006/relationships/hyperlink" Target="https://docs.google.com/document/d/1MqxUxlkyS614vrP6sYPgg4PEc9mbANpIf4uKEyMNjKg/edit?usp=sharing" TargetMode="External"/><Relationship Id="rId39" Type="http://schemas.openxmlformats.org/officeDocument/2006/relationships/hyperlink" Target="https://docs.google.com/presentation/d/1Kk_A13cZmPBwptfB_mZKJczlQI5XPBI0/edit?usp=sharing&amp;ouid=111713423622202995933&amp;rtpof=true&amp;sd=true" TargetMode="External"/><Relationship Id="rId38" Type="http://schemas.openxmlformats.org/officeDocument/2006/relationships/hyperlink" Target="https://drive.google.com/open?id=1XMgD_RhpGAu_Rj2rvT6jTVqtjIKml8cI&amp;usp=drive_copy" TargetMode="External"/><Relationship Id="rId20" Type="http://schemas.openxmlformats.org/officeDocument/2006/relationships/hyperlink" Target="mailto:andressa.alves@irede.org.br" TargetMode="External"/><Relationship Id="rId22" Type="http://schemas.openxmlformats.org/officeDocument/2006/relationships/hyperlink" Target="mailto:italo.marques@irede.org.br" TargetMode="External"/><Relationship Id="rId21" Type="http://schemas.openxmlformats.org/officeDocument/2006/relationships/hyperlink" Target="https://drive.google.com/file/d/1GRCHJNQnExwADMDrDi0x17Inf5pZig7z/view?usp=drive_link" TargetMode="External"/><Relationship Id="rId24" Type="http://schemas.openxmlformats.org/officeDocument/2006/relationships/hyperlink" Target="https://docs.google.com/document/d/1NXaW3sTPq0PLHhfmKK6VOMncPnqvklSMdtPPKeszl8k/edit?usp=sharing" TargetMode="External"/><Relationship Id="rId23" Type="http://schemas.openxmlformats.org/officeDocument/2006/relationships/hyperlink" Target="https://drive.google.com/open?id=1ijwZSfv0s2ylzzzNwKm8mroBC38p4X6q&amp;usp=drive_copy" TargetMode="External"/><Relationship Id="rId26" Type="http://schemas.openxmlformats.org/officeDocument/2006/relationships/hyperlink" Target="https://drive.google.com/open?id=1rsKwSOvfTZHVuiPgw1GN5Cu7nAJZbY1S&amp;usp=drive_fs" TargetMode="External"/><Relationship Id="rId25" Type="http://schemas.openxmlformats.org/officeDocument/2006/relationships/hyperlink" Target="mailto:andressa.alves@irede.org.br" TargetMode="External"/><Relationship Id="rId120" Type="http://schemas.openxmlformats.org/officeDocument/2006/relationships/drawing" Target="../drawings/drawing4.xml"/><Relationship Id="rId28" Type="http://schemas.openxmlformats.org/officeDocument/2006/relationships/hyperlink" Target="mailto:andressa.alves@irede.org.br" TargetMode="External"/><Relationship Id="rId27" Type="http://schemas.openxmlformats.org/officeDocument/2006/relationships/hyperlink" Target="https://docs.google.com/document/d/1x-xXHE9wIlyABgAzji8wyIqgEjnX1xzTdjRhble7XZg/edit?usp=sharing" TargetMode="External"/><Relationship Id="rId29" Type="http://schemas.openxmlformats.org/officeDocument/2006/relationships/hyperlink" Target="https://drive.google.com/file/d/1glGN3_H2GsPhV6U8sGmLbjnUuCf4nUiE/view?usp=drive_link" TargetMode="External"/><Relationship Id="rId122" Type="http://schemas.openxmlformats.org/officeDocument/2006/relationships/table" Target="../tables/table4.xml"/><Relationship Id="rId95" Type="http://schemas.openxmlformats.org/officeDocument/2006/relationships/hyperlink" Target="mailto:italo.marques@irede.org.br" TargetMode="External"/><Relationship Id="rId94" Type="http://schemas.openxmlformats.org/officeDocument/2006/relationships/hyperlink" Target="https://docs.google.com/document/d/1SWh9N5yl4LGifOJHKkmFGGsNiYdxahT5QFj683FifIM/edit?usp=sharing" TargetMode="External"/><Relationship Id="rId97" Type="http://schemas.openxmlformats.org/officeDocument/2006/relationships/hyperlink" Target="https://docs.google.com/document/d/1Xr7V_9m5I8qfhRZBqxkWGxqE4F9N5St2R8cDRKsfSjw/edit?usp=sharing" TargetMode="External"/><Relationship Id="rId96" Type="http://schemas.openxmlformats.org/officeDocument/2006/relationships/hyperlink" Target="https://drive.google.com/open?id=1XcKP2Lt0dqfIx5bh44kgSDufaiHsAo8P&amp;usp=drive_copy" TargetMode="External"/><Relationship Id="rId11" Type="http://schemas.openxmlformats.org/officeDocument/2006/relationships/hyperlink" Target="mailto:andressa.alves@irede.org.br" TargetMode="External"/><Relationship Id="rId99" Type="http://schemas.openxmlformats.org/officeDocument/2006/relationships/hyperlink" Target="https://drive.google.com/open?id=1jdEqaTUrFOKlVzilgYhTLoxdIKUJ6kr-&amp;usp=drive_copy" TargetMode="External"/><Relationship Id="rId10" Type="http://schemas.openxmlformats.org/officeDocument/2006/relationships/hyperlink" Target="https://docs.google.com/presentation/d/1Hfxq8AmIyJd1a9Q2gp8hGBsxEMlFzK9x/edit?usp=sharing&amp;ouid=111713423622202995933&amp;rtpof=true&amp;sd=true" TargetMode="External"/><Relationship Id="rId98" Type="http://schemas.openxmlformats.org/officeDocument/2006/relationships/hyperlink" Target="mailto:italo.marques@irede.org.br" TargetMode="External"/><Relationship Id="rId13" Type="http://schemas.openxmlformats.org/officeDocument/2006/relationships/hyperlink" Target="https://docs.google.com/presentation/d/1U9FVd4WYGoxiffFbUoL8wyuDkWeqvqr0/edit?usp=sharing&amp;ouid=111713423622202995933&amp;rtpof=true&amp;sd=true" TargetMode="External"/><Relationship Id="rId12" Type="http://schemas.openxmlformats.org/officeDocument/2006/relationships/hyperlink" Target="https://drive.google.com/open?id=1z62gI9RtCJSwYQhYU4qINAPoG1--Zi0C&amp;usp=drive_fs" TargetMode="External"/><Relationship Id="rId91" Type="http://schemas.openxmlformats.org/officeDocument/2006/relationships/hyperlink" Target="https://docs.google.com/document/d/1mP482MzUxouRHJd42viWXXi6VceEpmLzet_3Btcb4Lw/edit?usp=sharing" TargetMode="External"/><Relationship Id="rId90" Type="http://schemas.openxmlformats.org/officeDocument/2006/relationships/hyperlink" Target="https://drive.google.com/open?id=1v85FVa0k03Y-Kk2qUiBNZe2LbVcieuqs&amp;usp=drive_fs" TargetMode="External"/><Relationship Id="rId93" Type="http://schemas.openxmlformats.org/officeDocument/2006/relationships/hyperlink" Target="https://drive.google.com/file/d/1XYHiIoBJm_a4LOw8jIYhqvMpnEtOf5sY/view?usp=drive_link" TargetMode="External"/><Relationship Id="rId92" Type="http://schemas.openxmlformats.org/officeDocument/2006/relationships/hyperlink" Target="mailto:andressa.alves@irede.org.br" TargetMode="External"/><Relationship Id="rId118" Type="http://schemas.openxmlformats.org/officeDocument/2006/relationships/hyperlink" Target="mailto:andressa.alves@irede.org.br" TargetMode="External"/><Relationship Id="rId117" Type="http://schemas.openxmlformats.org/officeDocument/2006/relationships/hyperlink" Target="https://docs.google.com/document/d/1R6-JuH-0YLjmPhF8nQ3LSm9wF19ejjTXG0fdXXTSJ08/edit?usp=sharing" TargetMode="External"/><Relationship Id="rId116" Type="http://schemas.openxmlformats.org/officeDocument/2006/relationships/hyperlink" Target="https://drive.google.com/open?id=1bWQhyXf9SQ92QjjJDQkgVVKixHji0SOT&amp;usp=drive_fs" TargetMode="External"/><Relationship Id="rId115" Type="http://schemas.openxmlformats.org/officeDocument/2006/relationships/hyperlink" Target="mailto:andressa.alves@irede.org.br" TargetMode="External"/><Relationship Id="rId119" Type="http://schemas.openxmlformats.org/officeDocument/2006/relationships/hyperlink" Target="https://drive.google.com/file/d/1lJ8nqM-zV9VN-uyX4o2iIH3iQHkcrh3W/view?usp=drive_link" TargetMode="External"/><Relationship Id="rId15" Type="http://schemas.openxmlformats.org/officeDocument/2006/relationships/hyperlink" Target="https://drive.google.com/open?id=1DuQaIxc9i-maLnd2xxL3y_V-hBTo_OOv&amp;usp=drive_fs" TargetMode="External"/><Relationship Id="rId110" Type="http://schemas.openxmlformats.org/officeDocument/2006/relationships/hyperlink" Target="mailto:andressa.alves@irede.org.br" TargetMode="External"/><Relationship Id="rId14" Type="http://schemas.openxmlformats.org/officeDocument/2006/relationships/hyperlink" Target="mailto:andressa.alves@irede.org.br" TargetMode="External"/><Relationship Id="rId17" Type="http://schemas.openxmlformats.org/officeDocument/2006/relationships/hyperlink" Target="mailto:andressa.alves@irede.org.br" TargetMode="External"/><Relationship Id="rId16" Type="http://schemas.openxmlformats.org/officeDocument/2006/relationships/hyperlink" Target="https://docs.google.com/document/d/1ggAeLhuh_43bodD61hDmltmJ6Gy_-uKD_y5V8cF9oc8/edit?usp=sharing" TargetMode="External"/><Relationship Id="rId19" Type="http://schemas.openxmlformats.org/officeDocument/2006/relationships/hyperlink" Target="https://docs.google.com/document/d/1XcmS0EXLh-vTgw-QpnFjCmrzQrDg6AepsiDRQPdtNOA/edit?usp=sharing" TargetMode="External"/><Relationship Id="rId114" Type="http://schemas.openxmlformats.org/officeDocument/2006/relationships/hyperlink" Target="https://docs.google.com/document/d/1_6THuw4YLOUKCKCl3cDwxz0uUffkV-esbFUII4Ji-C0/edit?usp=sharing" TargetMode="External"/><Relationship Id="rId18" Type="http://schemas.openxmlformats.org/officeDocument/2006/relationships/hyperlink" Target="https://drive.google.com/open?id=1o8nNqrB7azxdGHBD3klzA1qa8VLg2ovW&amp;usp=drive_fs" TargetMode="External"/><Relationship Id="rId113" Type="http://schemas.openxmlformats.org/officeDocument/2006/relationships/hyperlink" Target="https://drive.google.com/open?id=1NT2c4q9iDpTtVpMGsSoR1z2Runx8y9uv&amp;usp=drive_copy" TargetMode="External"/><Relationship Id="rId112" Type="http://schemas.openxmlformats.org/officeDocument/2006/relationships/hyperlink" Target="mailto:italo.marques@irede.org.br" TargetMode="External"/><Relationship Id="rId111" Type="http://schemas.openxmlformats.org/officeDocument/2006/relationships/hyperlink" Target="https://drive.google.com/file/d/1C8yc2VrjYef8yPdIhi4qFRjxxW4q2WPF/view?usp=drive_link" TargetMode="External"/><Relationship Id="rId84" Type="http://schemas.openxmlformats.org/officeDocument/2006/relationships/hyperlink" Target="mailto:andressa.alves@irede.org.br" TargetMode="External"/><Relationship Id="rId83" Type="http://schemas.openxmlformats.org/officeDocument/2006/relationships/hyperlink" Target="https://docs.google.com/document/d/150Z1qZo3t83DybWmIiDEK80SBlAuKVGqh_ATSFNIzr4/edit?usp=sharing" TargetMode="External"/><Relationship Id="rId86" Type="http://schemas.openxmlformats.org/officeDocument/2006/relationships/hyperlink" Target="mailto:italo.marques@irede.org.br" TargetMode="External"/><Relationship Id="rId85" Type="http://schemas.openxmlformats.org/officeDocument/2006/relationships/hyperlink" Target="https://drive.google.com/file/d/1gkSFJ5TQS8gCxd1vZGSl1Y9bciPShjEU/view?usp=drive_link" TargetMode="External"/><Relationship Id="rId88" Type="http://schemas.openxmlformats.org/officeDocument/2006/relationships/hyperlink" Target="https://docs.google.com/document/d/1RVao6uTPlOAf54dv00Vfkoutc-REhc5M3cThsF3kON8/edit?usp=sharing" TargetMode="External"/><Relationship Id="rId87" Type="http://schemas.openxmlformats.org/officeDocument/2006/relationships/hyperlink" Target="https://drive.google.com/open?id=1j_5kwLIZqIJhLCOIsWCdgoZE3H1k2aOr&amp;usp=drive_copy" TargetMode="External"/><Relationship Id="rId89" Type="http://schemas.openxmlformats.org/officeDocument/2006/relationships/hyperlink" Target="mailto:andressa.alves@irede.org.br" TargetMode="External"/><Relationship Id="rId80" Type="http://schemas.openxmlformats.org/officeDocument/2006/relationships/hyperlink" Target="https://docs.google.com/document/d/10nV5IZlhN8HyhbemWGhSh8Z3stRNmg8Qwfu75eUOO2c/edit?usp=sharing" TargetMode="External"/><Relationship Id="rId82" Type="http://schemas.openxmlformats.org/officeDocument/2006/relationships/hyperlink" Target="https://drive.google.com/open?id=1OE2KnJMIVa4KU9dSzE_YfoFUqno8Dn-N&amp;usp=drive_fs" TargetMode="External"/><Relationship Id="rId81" Type="http://schemas.openxmlformats.org/officeDocument/2006/relationships/hyperlink" Target="mailto:andressa.alves@irede.org.br" TargetMode="External"/><Relationship Id="rId1" Type="http://schemas.openxmlformats.org/officeDocument/2006/relationships/hyperlink" Target="https://docs.google.com/document/d/1EfeZRgvJRFsj99xdLVK_KxnM3RHRgwtF5-8h8PLv2M0/edit?usp=sharing" TargetMode="External"/><Relationship Id="rId2" Type="http://schemas.openxmlformats.org/officeDocument/2006/relationships/hyperlink" Target="mailto:italo.marques@irede.org.br" TargetMode="External"/><Relationship Id="rId3" Type="http://schemas.openxmlformats.org/officeDocument/2006/relationships/hyperlink" Target="https://drive.google.com/open?id=1gQRnJQOt417GyLsQmBdc1v-593ik_K6F&amp;usp=drive_copy" TargetMode="External"/><Relationship Id="rId4" Type="http://schemas.openxmlformats.org/officeDocument/2006/relationships/hyperlink" Target="https://docs.google.com/document/d/1FQSF1oGkcWlO0x8YxVjWvQU-tek1FTimzdseIqYJ6uo/edit?usp=sharing" TargetMode="External"/><Relationship Id="rId9" Type="http://schemas.openxmlformats.org/officeDocument/2006/relationships/hyperlink" Target="https://drive.google.com/open?id=10Bp1tz4g9UclQjfJHaV1dtVtIoNVsVU7&amp;usp=drive_copy" TargetMode="External"/><Relationship Id="rId5" Type="http://schemas.openxmlformats.org/officeDocument/2006/relationships/hyperlink" Target="mailto:italo.marques@irede.org.br" TargetMode="External"/><Relationship Id="rId6" Type="http://schemas.openxmlformats.org/officeDocument/2006/relationships/hyperlink" Target="https://drive.google.com/open?id=1DFSA6l7Cux3JMIJhLA9ARe007oCxNI53&amp;usp=drive_copy" TargetMode="External"/><Relationship Id="rId7" Type="http://schemas.openxmlformats.org/officeDocument/2006/relationships/hyperlink" Target="https://docs.google.com/document/d/1bSB2XlSXpBg9nOwPFJOTSTzCmoaCkRiUWLh-YtpJGEU/edit?usp=sharing" TargetMode="External"/><Relationship Id="rId8" Type="http://schemas.openxmlformats.org/officeDocument/2006/relationships/hyperlink" Target="mailto:italo.marques@irede.org.br" TargetMode="External"/><Relationship Id="rId73" Type="http://schemas.openxmlformats.org/officeDocument/2006/relationships/hyperlink" Target="https://drive.google.com/open?id=1yr5lbIRuOkYzJIvMEmknMa54KRa_To6P&amp;usp=drive_fs" TargetMode="External"/><Relationship Id="rId72" Type="http://schemas.openxmlformats.org/officeDocument/2006/relationships/hyperlink" Target="mailto:andressa.alves@irede.org.br" TargetMode="External"/><Relationship Id="rId75" Type="http://schemas.openxmlformats.org/officeDocument/2006/relationships/hyperlink" Target="mailto:andressa.alves@irede.org.br" TargetMode="External"/><Relationship Id="rId74" Type="http://schemas.openxmlformats.org/officeDocument/2006/relationships/hyperlink" Target="https://docs.google.com/presentation/d/1dqcfSXYvbddvKuvbeCPNWvZmKu5WUlOf/edit?usp=sharing&amp;ouid=111713423622202995933&amp;rtpof=true&amp;sd=true" TargetMode="External"/><Relationship Id="rId77" Type="http://schemas.openxmlformats.org/officeDocument/2006/relationships/hyperlink" Target="https://docs.google.com/presentation/d/1GiTHUzhUck8T85UnzZB5o3WL7LBW4gIr/edit?usp=sharing&amp;ouid=111713423622202995933&amp;rtpof=true&amp;sd=true" TargetMode="External"/><Relationship Id="rId76" Type="http://schemas.openxmlformats.org/officeDocument/2006/relationships/hyperlink" Target="https://drive.google.com/open?id=1_SHpBzo1Toc-9sJvCZUXGvgp08fZuZlV&amp;usp=drive_fs" TargetMode="External"/><Relationship Id="rId79" Type="http://schemas.openxmlformats.org/officeDocument/2006/relationships/hyperlink" Target="https://drive.google.com/open?id=1fXFb1qd2ycNYStWybBPGDigCsE9YroZM&amp;usp=drive_fs" TargetMode="External"/><Relationship Id="rId78" Type="http://schemas.openxmlformats.org/officeDocument/2006/relationships/hyperlink" Target="mailto:andressa.alves@irede.org.br" TargetMode="External"/><Relationship Id="rId71" Type="http://schemas.openxmlformats.org/officeDocument/2006/relationships/hyperlink" Target="https://docs.google.com/presentation/d/1EKbvrkjX31i6nDhToyzgw0ivjdjNH_LS/edit?usp=sharing&amp;ouid=111713423622202995933&amp;rtpof=true&amp;sd=true" TargetMode="External"/><Relationship Id="rId70" Type="http://schemas.openxmlformats.org/officeDocument/2006/relationships/hyperlink" Target="https://drive.google.com/open?id=1moWqJE9KT1SXA70F2t76_nQYt8uFdTeD&amp;usp=drive_copy" TargetMode="External"/><Relationship Id="rId62" Type="http://schemas.openxmlformats.org/officeDocument/2006/relationships/hyperlink" Target="https://docs.google.com/document/d/1-HEkLlW_J28t0kXJk_gGG1AnC76nuG2b-GoGOc2NMf4/edit?usp=sharing" TargetMode="External"/><Relationship Id="rId61" Type="http://schemas.openxmlformats.org/officeDocument/2006/relationships/hyperlink" Target="https://drive.google.com/file/d/1nvPtMYXztJBmGw9QQBPcomh_Gc1SVVrC/view?usp=drive_link" TargetMode="External"/><Relationship Id="rId64" Type="http://schemas.openxmlformats.org/officeDocument/2006/relationships/hyperlink" Target="https://drive.google.com/open?id=1CW8GmvgTtv42w2nLuWep-ImJcMKwooJs&amp;usp=drive_copy" TargetMode="External"/><Relationship Id="rId63" Type="http://schemas.openxmlformats.org/officeDocument/2006/relationships/hyperlink" Target="mailto:italo.marques@irede.org.br" TargetMode="External"/><Relationship Id="rId66" Type="http://schemas.openxmlformats.org/officeDocument/2006/relationships/hyperlink" Target="mailto:italo.marques@irede.org.br" TargetMode="External"/><Relationship Id="rId65" Type="http://schemas.openxmlformats.org/officeDocument/2006/relationships/hyperlink" Target="https://docs.google.com/document/d/1uBnR-OTEhtMTc3eSMWF3j5Vq1GtIBvTPnlIW141_O4Q/edit?usp=sharing" TargetMode="External"/><Relationship Id="rId68" Type="http://schemas.openxmlformats.org/officeDocument/2006/relationships/hyperlink" Target="https://docs.google.com/document/d/1ID7e_yDTIAT9zM0FKJTpkgef9Xm354qNfEj1fJOfcl8/edit?usp=sharing" TargetMode="External"/><Relationship Id="rId67" Type="http://schemas.openxmlformats.org/officeDocument/2006/relationships/hyperlink" Target="https://drive.google.com/open?id=1tqKaaGMJ1E2wFAJw6ZvirLb6dX2YM0Sd&amp;usp=drive_copy" TargetMode="External"/><Relationship Id="rId60" Type="http://schemas.openxmlformats.org/officeDocument/2006/relationships/hyperlink" Target="mailto:andressa.alves@irede.org.br" TargetMode="External"/><Relationship Id="rId69" Type="http://schemas.openxmlformats.org/officeDocument/2006/relationships/hyperlink" Target="mailto:italo.marques@irede.org.br" TargetMode="External"/><Relationship Id="rId51" Type="http://schemas.openxmlformats.org/officeDocument/2006/relationships/hyperlink" Target="https://docs.google.com/document/d/1TlgMmkISPbxX9zMYWe8chEaWna717zgUJ7sFdRuhkO0/edit?usp=sharing" TargetMode="External"/><Relationship Id="rId50" Type="http://schemas.openxmlformats.org/officeDocument/2006/relationships/hyperlink" Target="https://drive.google.com/open?id=1b6K4VK3aUoWcPHpOvA6vOTXjq5PWBdxC&amp;usp=drive_fs" TargetMode="External"/><Relationship Id="rId53" Type="http://schemas.openxmlformats.org/officeDocument/2006/relationships/hyperlink" Target="https://drive.google.com/file/d/1OcoCOvk4wmw2Yc_yTdD7aPF33lNbiP0d/view?usp=drive_link" TargetMode="External"/><Relationship Id="rId52" Type="http://schemas.openxmlformats.org/officeDocument/2006/relationships/hyperlink" Target="mailto:andressa.alves@irede.org.br" TargetMode="External"/><Relationship Id="rId55" Type="http://schemas.openxmlformats.org/officeDocument/2006/relationships/hyperlink" Target="https://drive.google.com/open?id=1G_ucvhLLBnfIIaPCzUuSSqA3fDbfeg5l&amp;usp=drive_copy" TargetMode="External"/><Relationship Id="rId54" Type="http://schemas.openxmlformats.org/officeDocument/2006/relationships/hyperlink" Target="mailto:italo.marques@irede.org.br" TargetMode="External"/><Relationship Id="rId57" Type="http://schemas.openxmlformats.org/officeDocument/2006/relationships/hyperlink" Target="mailto:andressa.alves@irede.org.br" TargetMode="External"/><Relationship Id="rId56" Type="http://schemas.openxmlformats.org/officeDocument/2006/relationships/hyperlink" Target="https://docs.google.com/document/d/1xDpenqnwxRJEvokPQw8KtL1dyPlGuID8ZKIzsYyjFnQ/edit?usp=sharing" TargetMode="External"/><Relationship Id="rId59" Type="http://schemas.openxmlformats.org/officeDocument/2006/relationships/hyperlink" Target="https://docs.google.com/document/d/1ECFD_qP5facq8WNvIWN0sJfEFygeLMZB8PJM6M-GSXQ/edit?usp=sharing" TargetMode="External"/><Relationship Id="rId58" Type="http://schemas.openxmlformats.org/officeDocument/2006/relationships/hyperlink" Target="https://drive.google.com/open?id=1nEkjAMLEYF0qqDsHjHMCx44EGv-VoMIA&amp;usp=drive_fs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v0Az9IjamXmyb8oPdEWtrDg5zbtH0Vz9&amp;usp=drive_fs" TargetMode="External"/><Relationship Id="rId42" Type="http://schemas.openxmlformats.org/officeDocument/2006/relationships/hyperlink" Target="https://drive.google.com/file/d/16pIKGNDhIhLriB7VspWpmQUN49ygLH0W/view?usp=drive_link" TargetMode="External"/><Relationship Id="rId41" Type="http://schemas.openxmlformats.org/officeDocument/2006/relationships/hyperlink" Target="https://docs.google.com/document/d/1nrimGzzcMuQuC95Js01skYv1p3qUBSUxuT1TV5ON7ho/edit?usp=sharing" TargetMode="External"/><Relationship Id="rId44" Type="http://schemas.openxmlformats.org/officeDocument/2006/relationships/hyperlink" Target="https://docs.google.com/document/d/1_sUXKZLsH5MoL8O9N82ja312oddtOoPQcSfTfEA9elw/edit?usp=sharing" TargetMode="External"/><Relationship Id="rId43" Type="http://schemas.openxmlformats.org/officeDocument/2006/relationships/hyperlink" Target="https://drive.google.com/open?id=1_yL--xCbDjt0n4JXy8XqTOU6EexA-hjs&amp;usp=drive_copy" TargetMode="External"/><Relationship Id="rId46" Type="http://schemas.openxmlformats.org/officeDocument/2006/relationships/hyperlink" Target="https://docs.google.com/document/d/1zH96FSJyoWrVsEhD4rmXDMwdMoNP-Tiu9Z_gHSTYTJ4/edit?usp=sharing" TargetMode="External"/><Relationship Id="rId45" Type="http://schemas.openxmlformats.org/officeDocument/2006/relationships/hyperlink" Target="https://drive.google.com/open?id=177iExtpdHuO2cIt_oSu-ZtyH7x7RuaCn&amp;usp=drive_fs" TargetMode="External"/><Relationship Id="rId48" Type="http://schemas.openxmlformats.org/officeDocument/2006/relationships/drawing" Target="../drawings/drawing5.xml"/><Relationship Id="rId47" Type="http://schemas.openxmlformats.org/officeDocument/2006/relationships/hyperlink" Target="https://drive.google.com/file/d/134U2_7nPDIE3Dd_MYGjwfKTQMKyLowFm/view?usp=drive_link" TargetMode="External"/><Relationship Id="rId31" Type="http://schemas.openxmlformats.org/officeDocument/2006/relationships/hyperlink" Target="https://docs.google.com/document/d/1F-YBftbVApNL5WQeSzK1sfxcwmSN1fvTOLLp-jsHU8Y/edit?usp=sharing" TargetMode="External"/><Relationship Id="rId30" Type="http://schemas.openxmlformats.org/officeDocument/2006/relationships/hyperlink" Target="https://drive.google.com/open?id=1OwVSUZDTdoVfubxjHwAQe-JKImVBwukH&amp;usp=drive_copy" TargetMode="External"/><Relationship Id="rId33" Type="http://schemas.openxmlformats.org/officeDocument/2006/relationships/hyperlink" Target="https://docs.google.com/document/d/1FEEC1wP2utM0RhiF80dOdl3ew1KvSfzPLnTelcgbgvg/edit?usp=sharing" TargetMode="External"/><Relationship Id="rId32" Type="http://schemas.openxmlformats.org/officeDocument/2006/relationships/hyperlink" Target="https://drive.google.com/open?id=1PHeQnB0MtGRaIKGNlhCIb8EvtqSWXpdj&amp;usp=drive_fs" TargetMode="External"/><Relationship Id="rId35" Type="http://schemas.openxmlformats.org/officeDocument/2006/relationships/hyperlink" Target="https://docs.google.com/document/d/1KTIdZ-80_gizVcPe49MLVnUtqQCHJ3EnSmfyDp9QDfs/edit?usp=sharing" TargetMode="External"/><Relationship Id="rId34" Type="http://schemas.openxmlformats.org/officeDocument/2006/relationships/hyperlink" Target="https://drive.google.com/open?id=1Sot3Ja49QbzIWY6nZChVlh6OiiYNpVSb&amp;usp=drive_fs" TargetMode="External"/><Relationship Id="rId37" Type="http://schemas.openxmlformats.org/officeDocument/2006/relationships/hyperlink" Target="https://docs.google.com/presentation/d/1kpW2psQQF1UF7qHMwUOwh5ULO_-Vh4EB/edit?usp=sharing&amp;ouid=111713423622202995933&amp;rtpof=true&amp;sd=true" TargetMode="External"/><Relationship Id="rId36" Type="http://schemas.openxmlformats.org/officeDocument/2006/relationships/hyperlink" Target="https://drive.google.com/open?id=1fYsuMQN9_GbIs62SI9S44zTk8cP6AacD&amp;usp=drive_copy" TargetMode="External"/><Relationship Id="rId39" Type="http://schemas.openxmlformats.org/officeDocument/2006/relationships/hyperlink" Target="https://docs.google.com/document/d/1xWcWfa0lUkpJh8lNOUiLlOiHJjAZjdD5DpUMZ2dS4fU/edit?usp=sharing" TargetMode="External"/><Relationship Id="rId38" Type="http://schemas.openxmlformats.org/officeDocument/2006/relationships/hyperlink" Target="https://drive.google.com/open?id=1qACwOFv__cmw3JjJUQ6p2cgWnEg6lwfp&amp;usp=drive_fs" TargetMode="External"/><Relationship Id="rId20" Type="http://schemas.openxmlformats.org/officeDocument/2006/relationships/hyperlink" Target="https://docs.google.com/document/d/14L7JHDet9f-Nru1xAgijJEDH39MuewBaIxKwTm5DMIE/edit?usp=sharing" TargetMode="External"/><Relationship Id="rId22" Type="http://schemas.openxmlformats.org/officeDocument/2006/relationships/hyperlink" Target="https://docs.google.com/presentation/d/1mEaME_Jj2p5QQFw7hqqpmSGR4bnOwUfI/edit?usp=sharing&amp;ouid=111713423622202995933&amp;rtpof=true&amp;sd=true" TargetMode="External"/><Relationship Id="rId21" Type="http://schemas.openxmlformats.org/officeDocument/2006/relationships/hyperlink" Target="https://drive.google.com/open?id=12nYwPQwAMeaclEps3xEzhrw7CGdcq2mC&amp;usp=drive_copy" TargetMode="External"/><Relationship Id="rId24" Type="http://schemas.openxmlformats.org/officeDocument/2006/relationships/hyperlink" Target="https://docs.google.com/presentation/d/1vmT3iWOBOY6ofntrysWpNY8Xd6n1k4xd/edit?usp=sharing&amp;ouid=111713423622202995933&amp;rtpof=true&amp;sd=true" TargetMode="External"/><Relationship Id="rId23" Type="http://schemas.openxmlformats.org/officeDocument/2006/relationships/hyperlink" Target="https://drive.google.com/open?id=1i1HylfGt0pNFXFov75oxVL675Qz8cAKD&amp;usp=drive_fs" TargetMode="External"/><Relationship Id="rId26" Type="http://schemas.openxmlformats.org/officeDocument/2006/relationships/hyperlink" Target="https://docs.google.com/document/d/1q2hKI2BBxRMPCVTlHcLfC0unXyVs_5uTDlvhEDgkkE8/edit?usp=sharing" TargetMode="External"/><Relationship Id="rId25" Type="http://schemas.openxmlformats.org/officeDocument/2006/relationships/hyperlink" Target="https://drive.google.com/file/d/1ItpB1hHk2-gb6DKe68zHNb_n4JoNCifB/view?usp=drive_link" TargetMode="External"/><Relationship Id="rId28" Type="http://schemas.openxmlformats.org/officeDocument/2006/relationships/hyperlink" Target="https://docs.google.com/document/d/1AWPck1Lmbtbw-vAQCwtjlJg0Ske1-2RGicf2L4YitF4/edit?usp=sharing" TargetMode="External"/><Relationship Id="rId27" Type="http://schemas.openxmlformats.org/officeDocument/2006/relationships/hyperlink" Target="https://drive.google.com/open?id=1Kb4bP-9FSfCP_aRrAETpoDKBiOmPdOen&amp;usp=drive_fs" TargetMode="External"/><Relationship Id="rId29" Type="http://schemas.openxmlformats.org/officeDocument/2006/relationships/hyperlink" Target="https://drive.google.com/file/d/1HSWAJ9Yezmuo1oZtF8jj07JpOXbmFW3r/view?usp=drive_link" TargetMode="External"/><Relationship Id="rId11" Type="http://schemas.openxmlformats.org/officeDocument/2006/relationships/hyperlink" Target="https://docs.google.com/document/d/1ZsVMexiAypqdxQpE8koXUnyCVyD_cF8Uuri4RqASv3g/edit?usp=sharing" TargetMode="External"/><Relationship Id="rId10" Type="http://schemas.openxmlformats.org/officeDocument/2006/relationships/hyperlink" Target="https://drive.google.com/open?id=1-5DDW7jE-vtSsIgacWyt9g8Tf0AZw-bk&amp;usp=drive_fs" TargetMode="External"/><Relationship Id="rId13" Type="http://schemas.openxmlformats.org/officeDocument/2006/relationships/hyperlink" Target="https://drive.google.com/open?id=1vceNhR8kFq8rWM3TB_kbdKQFfxpp74BZ&amp;usp=drive_copy" TargetMode="External"/><Relationship Id="rId12" Type="http://schemas.openxmlformats.org/officeDocument/2006/relationships/hyperlink" Target="https://drive.google.com/file/d/1cRRhOkJ4O9Zak00MwovZjVZUgOjYOGEs/view?usp=drive_link" TargetMode="External"/><Relationship Id="rId15" Type="http://schemas.openxmlformats.org/officeDocument/2006/relationships/hyperlink" Target="https://drive.google.com/open?id=1eYD0DX0B0_2J2oTSijl_dEIJSsX-WlBQ&amp;usp=drive_fs" TargetMode="External"/><Relationship Id="rId14" Type="http://schemas.openxmlformats.org/officeDocument/2006/relationships/hyperlink" Target="https://docs.google.com/document/d/14IhreWEeJ2aB9kpWWsXnkh-JqYPZS4FZB0dDNYj0zW4/edit?usp=sharing" TargetMode="External"/><Relationship Id="rId17" Type="http://schemas.openxmlformats.org/officeDocument/2006/relationships/hyperlink" Target="https://drive.google.com/file/d/1dpJX1P-FX3XjPtHyi1160iXLkU9p9k70/view?usp=drive_link" TargetMode="External"/><Relationship Id="rId16" Type="http://schemas.openxmlformats.org/officeDocument/2006/relationships/hyperlink" Target="https://docs.google.com/document/d/1u_EpYBWEEOaomamP4pyYXHBXwHjpHTbvcq_31HIsUGU/edit?usp=sharing" TargetMode="External"/><Relationship Id="rId19" Type="http://schemas.openxmlformats.org/officeDocument/2006/relationships/hyperlink" Target="https://drive.google.com/open?id=1b6EbDSXAtnUSDUw26L2eTEsaeSKMKIOK&amp;usp=drive_copy" TargetMode="External"/><Relationship Id="rId18" Type="http://schemas.openxmlformats.org/officeDocument/2006/relationships/hyperlink" Target="https://docs.google.com/document/d/1Z2i0q30XObV0fPM3ZHV2Dt_JipgFv5nqTPTWlVSnDo8/edit?usp=sharing" TargetMode="External"/><Relationship Id="rId1" Type="http://schemas.openxmlformats.org/officeDocument/2006/relationships/hyperlink" Target="https://docs.google.com/document/d/1ibZnE4P-B58xkjAEptOq0cQdVcovII6rpr6-5HZ2UKw/edit?usp=sharing" TargetMode="External"/><Relationship Id="rId2" Type="http://schemas.openxmlformats.org/officeDocument/2006/relationships/hyperlink" Target="https://drive.google.com/open?id=1AN7lKpKQ308zK1NfykUf6mtFOH6snhcw&amp;usp=drive_copy" TargetMode="External"/><Relationship Id="rId3" Type="http://schemas.openxmlformats.org/officeDocument/2006/relationships/hyperlink" Target="https://docs.google.com/document/d/1eKZOqXFurSFgc56pPPX4P9zIVuqDlQlaWpWHQ-1BKMA/edit?usp=sharing" TargetMode="External"/><Relationship Id="rId4" Type="http://schemas.openxmlformats.org/officeDocument/2006/relationships/hyperlink" Target="https://drive.google.com/open?id=1LAMJ95u4U5BshE8P1iiYlJyVGmzYofVT&amp;usp=drive_copy" TargetMode="External"/><Relationship Id="rId9" Type="http://schemas.openxmlformats.org/officeDocument/2006/relationships/hyperlink" Target="https://docs.google.com/document/d/1v3H5NgOIdPdjjryD1YnsoyemsE0vb_RYaQ_6yKpGFlo/edit?usp=sharing" TargetMode="External"/><Relationship Id="rId5" Type="http://schemas.openxmlformats.org/officeDocument/2006/relationships/hyperlink" Target="https://docs.google.com/presentation/d/1q0TqjjrNvwc6i4IQznKeJc9klN2CfXSK/edit?usp=sharing&amp;ouid=111713423622202995933&amp;rtpof=true&amp;sd=true" TargetMode="External"/><Relationship Id="rId6" Type="http://schemas.openxmlformats.org/officeDocument/2006/relationships/hyperlink" Target="https://drive.google.com/file/d/1_BjGWKDc5iJyM_ji94weqftmuo99wjTU/view?usp=sharing" TargetMode="External"/><Relationship Id="rId7" Type="http://schemas.openxmlformats.org/officeDocument/2006/relationships/hyperlink" Target="https://docs.google.com/presentation/d/1xidnDSWiKvp55syP1TswTTiailLqTy1i/edit?usp=sharing&amp;ouid=111713423622202995933&amp;rtpof=true&amp;sd=true" TargetMode="External"/><Relationship Id="rId8" Type="http://schemas.openxmlformats.org/officeDocument/2006/relationships/hyperlink" Target="https://drive.google.com/file/d/1_NkWpCFAUc4UXD6pS8oLOMbcQqUx-vLc/view?usp=sharing" TargetMode="External"/><Relationship Id="rId50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U2sIsW9BigCOiLLoPXS_fxTrXDz3nx1L3esw-Z714iI/edit?usp=sharing" TargetMode="External"/><Relationship Id="rId42" Type="http://schemas.openxmlformats.org/officeDocument/2006/relationships/hyperlink" Target="https://drive.google.com/file/d/1zT7nMhCOGGPWRujZjbAlCkBkDPmwtFSn/view?usp=drive_link" TargetMode="External"/><Relationship Id="rId41" Type="http://schemas.openxmlformats.org/officeDocument/2006/relationships/hyperlink" Target="https://drive.google.com/file/d/1fMka7VALt9Cs5VJ9eOexrZ5XfdlHTxP4/view?usp=drive_link" TargetMode="External"/><Relationship Id="rId44" Type="http://schemas.openxmlformats.org/officeDocument/2006/relationships/hyperlink" Target="https://drive.google.com/file/d/1sYpDTM2cluSiNetyRw87ML25cLSXQhjr/view?usp=drive_link" TargetMode="External"/><Relationship Id="rId43" Type="http://schemas.openxmlformats.org/officeDocument/2006/relationships/hyperlink" Target="https://docs.google.com/document/d/1MVx7_9CH3a62P4fBy6KZaQHxooifI-tHWV8ZmcqcHK8/edit?usp=sharing" TargetMode="External"/><Relationship Id="rId46" Type="http://schemas.openxmlformats.org/officeDocument/2006/relationships/hyperlink" Target="https://drive.google.com/file/d/1bviQU0wzk6WRR6sZ3qeJP2beogk00XLm/view?usp=drive_link" TargetMode="External"/><Relationship Id="rId45" Type="http://schemas.openxmlformats.org/officeDocument/2006/relationships/hyperlink" Target="https://docs.google.com/document/d/18CQHEQ0D-TkkZeew90q3xJDq3hlJvStoGaVOkqPmI3E/edit?usp=sharing" TargetMode="External"/><Relationship Id="rId48" Type="http://schemas.openxmlformats.org/officeDocument/2006/relationships/hyperlink" Target="https://drive.google.com/file/d/1JfF-xqssQPx2cxmaf67LxfPgYsgCeBGT/view?usp=drive_link" TargetMode="External"/><Relationship Id="rId47" Type="http://schemas.openxmlformats.org/officeDocument/2006/relationships/hyperlink" Target="https://docs.google.com/document/d/1V9lHbqpLQQZCrmvBttahai70x6ax_gEuZjuCSPRTxyI/edit?usp=sharing" TargetMode="External"/><Relationship Id="rId49" Type="http://schemas.openxmlformats.org/officeDocument/2006/relationships/hyperlink" Target="https://docs.google.com/document/d/18-km5JDG1bI-SfpLl0L0s107ux8W7S7qCkzLJW7U6F4/edit?usp=sharing" TargetMode="External"/><Relationship Id="rId31" Type="http://schemas.openxmlformats.org/officeDocument/2006/relationships/hyperlink" Target="https://drive.google.com/file/d/1iGnOw7cdPYVNEPKE86Wno8KvPLfINREH/view?usp=drive_link" TargetMode="External"/><Relationship Id="rId30" Type="http://schemas.openxmlformats.org/officeDocument/2006/relationships/hyperlink" Target="https://docs.google.com/document/d/1aIOur8OdJlNvAHvMa2wwZoi9j-4HfpmeAomWfVOXvpA/edit?usp=sharing" TargetMode="External"/><Relationship Id="rId33" Type="http://schemas.openxmlformats.org/officeDocument/2006/relationships/hyperlink" Target="https://drive.google.com/open?id=1br0C9JueHd1SPBpl6edHtxmN5W7Fx7w_&amp;usp=drive_fs" TargetMode="External"/><Relationship Id="rId32" Type="http://schemas.openxmlformats.org/officeDocument/2006/relationships/hyperlink" Target="https://docs.google.com/presentation/d/147FW-cBzp_hQBYhKzQaAhdvOhtKzlK5a/edit?usp=sharing&amp;ouid=111713423622202995933&amp;rtpof=true&amp;sd=true" TargetMode="External"/><Relationship Id="rId35" Type="http://schemas.openxmlformats.org/officeDocument/2006/relationships/hyperlink" Target="https://drive.google.com/file/d/1LgzwaKmD9x0YjT8zekk86HirpKiCa1-d/view?usp=drive_link" TargetMode="External"/><Relationship Id="rId34" Type="http://schemas.openxmlformats.org/officeDocument/2006/relationships/hyperlink" Target="https://docs.google.com/presentation/d/1Ez5Be9Mf0-Y07njc3ABVOQl2I5OLQ2H7/edit?usp=sharing&amp;ouid=111713423622202995933&amp;rtpof=true&amp;sd=true" TargetMode="External"/><Relationship Id="rId37" Type="http://schemas.openxmlformats.org/officeDocument/2006/relationships/hyperlink" Target="https://drive.google.com/open?id=1VgrNBIXZImehfzV8_H0NUyJcFT6UCopz&amp;usp=drive_fs" TargetMode="External"/><Relationship Id="rId36" Type="http://schemas.openxmlformats.org/officeDocument/2006/relationships/hyperlink" Target="https://docs.google.com/presentation/d/1VHZ4ZR3pMU2FWuZ7_jAxMg668aVj5uCS/edit?usp=sharing&amp;ouid=111713423622202995933&amp;rtpof=true&amp;sd=true" TargetMode="External"/><Relationship Id="rId39" Type="http://schemas.openxmlformats.org/officeDocument/2006/relationships/hyperlink" Target="https://drive.google.com/file/d/1fxUi_FVcgTIVh58SsnrU3fKEXuHjzraq/view?usp=drive_link" TargetMode="External"/><Relationship Id="rId38" Type="http://schemas.openxmlformats.org/officeDocument/2006/relationships/hyperlink" Target="https://docs.google.com/document/d/1N03UvElcGe4NVW5PREkGLUnoJqxa6LqZIYePCsuOhmQ/edit?usp=sharing" TargetMode="External"/><Relationship Id="rId20" Type="http://schemas.openxmlformats.org/officeDocument/2006/relationships/hyperlink" Target="https://drive.google.com/file/d/1vZId2e_AjXNOdBIrR6T0Izzj2cp7crEb/view?usp=drive_link" TargetMode="External"/><Relationship Id="rId22" Type="http://schemas.openxmlformats.org/officeDocument/2006/relationships/hyperlink" Target="https://docs.google.com/document/d/1CWGUTMVAlTreivvOkrODRhoQUtdULP0E7RFA1lWBcGY/edit?usp=sharing" TargetMode="External"/><Relationship Id="rId21" Type="http://schemas.openxmlformats.org/officeDocument/2006/relationships/hyperlink" Target="https://drive.google.com/file/d/1Af-4RHYFivR-cYianzA63_2YAv23hW6l/view?usp=drive_link" TargetMode="External"/><Relationship Id="rId24" Type="http://schemas.openxmlformats.org/officeDocument/2006/relationships/hyperlink" Target="https://docs.google.com/document/d/1gsE1EFo95leMM33X7YLeaPTQvPGJkUpchoiXRutNSnI/edit?usp=sharing" TargetMode="External"/><Relationship Id="rId23" Type="http://schemas.openxmlformats.org/officeDocument/2006/relationships/hyperlink" Target="https://drive.google.com/file/d/15l4TTMCUEJDvRtjXEEOEsCRa10z2Dk5Y/view?usp=drive_link" TargetMode="External"/><Relationship Id="rId26" Type="http://schemas.openxmlformats.org/officeDocument/2006/relationships/hyperlink" Target="https://docs.google.com/document/d/152ZUY0rMW2a2FPs7Wov5d32UVrF0kHcfkihyTxmfZN0/edit?usp=sharing" TargetMode="External"/><Relationship Id="rId25" Type="http://schemas.openxmlformats.org/officeDocument/2006/relationships/hyperlink" Target="https://drive.google.com/open?id=1Ew4QLvwq7roDaZpYWygYtIqglvz0vyVK&amp;usp=drive_fs" TargetMode="External"/><Relationship Id="rId28" Type="http://schemas.openxmlformats.org/officeDocument/2006/relationships/hyperlink" Target="https://docs.google.com/document/d/1Ind_6Jm9M1VJptEFdZ-3CyMVUoxIL0DGeJwBrki_dfY/edit?usp=sharing" TargetMode="External"/><Relationship Id="rId27" Type="http://schemas.openxmlformats.org/officeDocument/2006/relationships/hyperlink" Target="https://drive.google.com/file/d/1_81OLG9EVgF7yK56VXmi2683gEZ18ts1/view?usp=drive_link" TargetMode="External"/><Relationship Id="rId29" Type="http://schemas.openxmlformats.org/officeDocument/2006/relationships/hyperlink" Target="https://drive.google.com/file/d/1Ri78GPK4taOjZkbzHZjKyrEVX8Z9fH9I/view?usp=drive_link" TargetMode="External"/><Relationship Id="rId11" Type="http://schemas.openxmlformats.org/officeDocument/2006/relationships/hyperlink" Target="https://docs.google.com/presentation/d/1U-Kj7GPhZfsCdjk6Yjm0OwWilL7SRzGP/edit?usp=sharing&amp;ouid=111713423622202995933&amp;rtpof=true&amp;sd=true" TargetMode="External"/><Relationship Id="rId10" Type="http://schemas.openxmlformats.org/officeDocument/2006/relationships/hyperlink" Target="https://drive.google.com/open?id=1fgBLDwSAa8EJbvlnFa3iPR-7lLiWWox1&amp;usp=drive_fs" TargetMode="External"/><Relationship Id="rId13" Type="http://schemas.openxmlformats.org/officeDocument/2006/relationships/hyperlink" Target="https://docs.google.com/presentation/d/15Uy8HzyXHVRp87JrzrpEGgvGakuA3LaS/edit?usp=sharing&amp;ouid=111713423622202995933&amp;rtpof=true&amp;sd=true" TargetMode="External"/><Relationship Id="rId12" Type="http://schemas.openxmlformats.org/officeDocument/2006/relationships/hyperlink" Target="https://drive.google.com/open?id=1vH_-STCimfWyHifiWtBoVKwGgTkNlWve&amp;usp=drive_fs" TargetMode="External"/><Relationship Id="rId15" Type="http://schemas.openxmlformats.org/officeDocument/2006/relationships/hyperlink" Target="https://docs.google.com/presentation/d/1Qs4rRQAYXo15sxC1qdCDMWL1FGr10I1C/edit?usp=sharing&amp;ouid=111713423622202995933&amp;rtpof=true&amp;sd=true" TargetMode="External"/><Relationship Id="rId14" Type="http://schemas.openxmlformats.org/officeDocument/2006/relationships/hyperlink" Target="https://drive.google.com/open?id=1JnSr3vD6RKMoM9C672uYstqYS9Qu0Nqk&amp;usp=drive_fs" TargetMode="External"/><Relationship Id="rId17" Type="http://schemas.openxmlformats.org/officeDocument/2006/relationships/hyperlink" Target="https://docs.google.com/document/d/1-Jqiu4sjIZXlmCMjnfB5q6mzjyRq67Xvvey3YxVnEyY/edit?usp=sharing" TargetMode="External"/><Relationship Id="rId16" Type="http://schemas.openxmlformats.org/officeDocument/2006/relationships/hyperlink" Target="https://drive.google.com/open?id=1_8eH1SsclxqKxwfjN4HJVddG3_SIS7jq&amp;usp=drive_fs" TargetMode="External"/><Relationship Id="rId19" Type="http://schemas.openxmlformats.org/officeDocument/2006/relationships/hyperlink" Target="https://docs.google.com/document/d/1uhQWV0Qu1SFukJjXPYj_0GAoLNtiFhUyYFBorKXho7g/edit?usp=sharing" TargetMode="External"/><Relationship Id="rId18" Type="http://schemas.openxmlformats.org/officeDocument/2006/relationships/hyperlink" Target="https://drive.google.com/file/d/1wlNTni1nSVze7LZF-2EY2qAFrigwWSJV/view?usp=drive_link" TargetMode="External"/><Relationship Id="rId84" Type="http://schemas.openxmlformats.org/officeDocument/2006/relationships/hyperlink" Target="https://docs.google.com/document/d/1SDaHwE2eqgf1OPnuD_O4EGOiIJ1c9AKlvwsH2OSTKhc/edit?usp=sharing" TargetMode="External"/><Relationship Id="rId83" Type="http://schemas.openxmlformats.org/officeDocument/2006/relationships/hyperlink" Target="https://drive.google.com/file/d/1T6X3F8aAHtscX52E0yYDt_ZK43708qPm/view?usp=drive_link" TargetMode="External"/><Relationship Id="rId86" Type="http://schemas.openxmlformats.org/officeDocument/2006/relationships/drawing" Target="../drawings/drawing6.xml"/><Relationship Id="rId85" Type="http://schemas.openxmlformats.org/officeDocument/2006/relationships/hyperlink" Target="https://drive.google.com/file/d/1-1WWtah-wfjBk8dPqOtiHdb0A2ddRseD/view?usp=drive_link" TargetMode="External"/><Relationship Id="rId88" Type="http://schemas.openxmlformats.org/officeDocument/2006/relationships/table" Target="../tables/table6.xml"/><Relationship Id="rId80" Type="http://schemas.openxmlformats.org/officeDocument/2006/relationships/hyperlink" Target="https://docs.google.com/document/d/1eL7SkhapWxGwBLk72breKi1O5gp112PI26FO1_8Q-Ko/edit?usp=sharing" TargetMode="External"/><Relationship Id="rId82" Type="http://schemas.openxmlformats.org/officeDocument/2006/relationships/hyperlink" Target="https://docs.google.com/document/d/1Og3vdmo0SxA_GNBmro4jbs79sb9TqqqCxURk0SRsSa4/edit?usp=sharing" TargetMode="External"/><Relationship Id="rId81" Type="http://schemas.openxmlformats.org/officeDocument/2006/relationships/hyperlink" Target="https://drive.google.com/file/d/1HETt0PpzIooGL-YuGE6zTWgsBymnmCmT/view?usp=drive_link" TargetMode="External"/><Relationship Id="rId1" Type="http://schemas.openxmlformats.org/officeDocument/2006/relationships/hyperlink" Target="https://docs.google.com/document/d/1iB4Nt4ypEs9U2m3SeGYa7R2EfZQW2lgaxrEzz_FL-Zk/edit?usp=sharing" TargetMode="External"/><Relationship Id="rId2" Type="http://schemas.openxmlformats.org/officeDocument/2006/relationships/hyperlink" Target="https://drive.google.com/file/d/1aU0mE1l34aerslYJCM5rPbW7pwdyzYhu/view?usp=drive_link" TargetMode="External"/><Relationship Id="rId3" Type="http://schemas.openxmlformats.org/officeDocument/2006/relationships/hyperlink" Target="https://docs.google.com/document/d/1FpyXdYiGGU5D1ZO8CP31RYsCaTsBHOg3AjRqymGoihc/edit?usp=sharing" TargetMode="External"/><Relationship Id="rId4" Type="http://schemas.openxmlformats.org/officeDocument/2006/relationships/hyperlink" Target="https://drive.google.com/file/d/1DZ-3ISchV_lNQWMmgeq12tWvOMkfCEhk/view?usp=drive_link" TargetMode="External"/><Relationship Id="rId9" Type="http://schemas.openxmlformats.org/officeDocument/2006/relationships/hyperlink" Target="https://docs.google.com/presentation/d/1fMr1LSDbS6jHd0F7QJtDwgbkl2XTGrtj/edit?usp=sharing&amp;ouid=111713423622202995933&amp;rtpof=true&amp;sd=true" TargetMode="External"/><Relationship Id="rId5" Type="http://schemas.openxmlformats.org/officeDocument/2006/relationships/hyperlink" Target="https://docs.google.com/document/d/1ri9l3stBbTh1-_EQsZRPfVlewOzUxRtT8awgPwi4YNE/edit?usp=sharing" TargetMode="External"/><Relationship Id="rId6" Type="http://schemas.openxmlformats.org/officeDocument/2006/relationships/hyperlink" Target="https://drive.google.com/file/d/1h_bDPBCKzoCTQ6avDIUrSr_yBtMIf-vy/view?usp=drive_link" TargetMode="External"/><Relationship Id="rId7" Type="http://schemas.openxmlformats.org/officeDocument/2006/relationships/hyperlink" Target="https://docs.google.com/document/d/11bYuo_rDLHnIyrGfPGVP5m0Q1GtOqHlP4at-O_0RoN4/edit?usp=sharing" TargetMode="External"/><Relationship Id="rId8" Type="http://schemas.openxmlformats.org/officeDocument/2006/relationships/hyperlink" Target="https://drive.google.com/file/d/1gUFX6VlkgL6bnW7jAQhmIhB5JwHq7G2R/view?usp=drive_link" TargetMode="External"/><Relationship Id="rId73" Type="http://schemas.openxmlformats.org/officeDocument/2006/relationships/hyperlink" Target="https://drive.google.com/file/d/1sVVhvE49P2oC50fkdRYbnoX40a701USb/view?usp=drive_link" TargetMode="External"/><Relationship Id="rId72" Type="http://schemas.openxmlformats.org/officeDocument/2006/relationships/hyperlink" Target="https://docs.google.com/document/d/1i_qFtXNmdOT9S49yAvl8I5ROKiOBAZuI6cFVFumplhc/edit?usp=sharing" TargetMode="External"/><Relationship Id="rId75" Type="http://schemas.openxmlformats.org/officeDocument/2006/relationships/hyperlink" Target="https://drive.google.com/file/d/1kkDbvSTdQrUKuOVUqZtrXhWjuF60IYJr/view?usp=drive_link" TargetMode="External"/><Relationship Id="rId74" Type="http://schemas.openxmlformats.org/officeDocument/2006/relationships/hyperlink" Target="https://docs.google.com/presentation/d/1eLXWqCl0d-izO0JPbXt-oTNV8tRKoEDy/edit?usp=sharing&amp;ouid=111713423622202995933&amp;rtpof=true&amp;sd=true" TargetMode="External"/><Relationship Id="rId77" Type="http://schemas.openxmlformats.org/officeDocument/2006/relationships/hyperlink" Target="https://drive.google.com/file/d/1d6hlN6zXR9kGkmK9vTPY5S9zfRS4KHpm/view?usp=drive_link" TargetMode="External"/><Relationship Id="rId76" Type="http://schemas.openxmlformats.org/officeDocument/2006/relationships/hyperlink" Target="https://docs.google.com/presentation/d/1jaRSCaV6kpj1-0OHQZZwGQ9DT-fI77h-/edit?usp=sharing&amp;ouid=111713423622202995933&amp;rtpof=true&amp;sd=true" TargetMode="External"/><Relationship Id="rId79" Type="http://schemas.openxmlformats.org/officeDocument/2006/relationships/hyperlink" Target="https://drive.google.com/open?id=1zOKFVHaPpqoFuXsM1WG-paCSN-6t-lBr&amp;usp=drive_fs" TargetMode="External"/><Relationship Id="rId78" Type="http://schemas.openxmlformats.org/officeDocument/2006/relationships/hyperlink" Target="https://docs.google.com/presentation/d/1xzpq-1YZfHSX-_EXNa4Dyu-HCm5KcNCE/edit?usp=sharing&amp;ouid=111713423622202995933&amp;rtpof=true&amp;sd=true" TargetMode="External"/><Relationship Id="rId71" Type="http://schemas.openxmlformats.org/officeDocument/2006/relationships/hyperlink" Target="https://drive.google.com/file/d/1-dXNpp9Mauw0n_DUaYtT25NgD_tWAEIe/view?usp=drive_link" TargetMode="External"/><Relationship Id="rId70" Type="http://schemas.openxmlformats.org/officeDocument/2006/relationships/hyperlink" Target="https://docs.google.com/document/d/1zFGl7-ys3A27blQ1jg9aA6hw99qxxhkPB7byZsZM610/edit?usp=sharing" TargetMode="External"/><Relationship Id="rId62" Type="http://schemas.openxmlformats.org/officeDocument/2006/relationships/hyperlink" Target="https://drive.google.com/file/d/1CytYPmfkJF1zbjWjs-0SEq_HHv87Z8AG/view?usp=drive_link" TargetMode="External"/><Relationship Id="rId61" Type="http://schemas.openxmlformats.org/officeDocument/2006/relationships/hyperlink" Target="https://docs.google.com/document/d/1kHLm-NZEa8eiks8my5ZXWmayFuG4WpV9RoWIrx7XKSY/edit?usp=sharing" TargetMode="External"/><Relationship Id="rId64" Type="http://schemas.openxmlformats.org/officeDocument/2006/relationships/hyperlink" Target="https://docs.google.com/document/d/1aySnN4PajCTt30GJ81ZoEikfyA6ijGicVg8S-TbJ85o/edit?usp=sharing" TargetMode="External"/><Relationship Id="rId63" Type="http://schemas.openxmlformats.org/officeDocument/2006/relationships/hyperlink" Target="https://drive.google.com/file/d/1kUkWsAsk5-x_qvECiuaOxBMajpK3FmGM/view?usp=drive_link" TargetMode="External"/><Relationship Id="rId66" Type="http://schemas.openxmlformats.org/officeDocument/2006/relationships/hyperlink" Target="https://docs.google.com/document/d/1GA2P_ER4Eqf3n5RkAZ8pldDL4FoMgcoPY2C9AWhEdfc/edit?usp=sharing" TargetMode="External"/><Relationship Id="rId65" Type="http://schemas.openxmlformats.org/officeDocument/2006/relationships/hyperlink" Target="https://drive.google.com/file/d/19y0aoospVkW62RqrDmEgw29BGoQfr52V/view?usp=drive_link" TargetMode="External"/><Relationship Id="rId68" Type="http://schemas.openxmlformats.org/officeDocument/2006/relationships/hyperlink" Target="https://docs.google.com/document/d/1i5HjeSi5ewV7vDcGZsitERJBFSb9B8APMczeZtKMYSs/edit?usp=sharing" TargetMode="External"/><Relationship Id="rId67" Type="http://schemas.openxmlformats.org/officeDocument/2006/relationships/hyperlink" Target="https://drive.google.com/open?id=1CQ0zWfVtf_jyo5e9csjpPN9X99zw5-Ux&amp;usp=drive_fs" TargetMode="External"/><Relationship Id="rId60" Type="http://schemas.openxmlformats.org/officeDocument/2006/relationships/hyperlink" Target="https://drive.google.com/file/d/1K-YkeBgTSuVeXXbGfBNLXyPYKNUP3PDV/view?usp=drive_link" TargetMode="External"/><Relationship Id="rId69" Type="http://schemas.openxmlformats.org/officeDocument/2006/relationships/hyperlink" Target="https://drive.google.com/file/d/1_GH5BhHU8gmFwnDWZrHfzvhJmkGh5b9y/view?usp=drive_link" TargetMode="External"/><Relationship Id="rId51" Type="http://schemas.openxmlformats.org/officeDocument/2006/relationships/hyperlink" Target="https://docs.google.com/document/d/1KdB4JDDTQXA3iTgIV76WSj3ptVs_HkoUixev0MXr2Tk/edit?usp=sharing" TargetMode="External"/><Relationship Id="rId50" Type="http://schemas.openxmlformats.org/officeDocument/2006/relationships/hyperlink" Target="https://drive.google.com/file/d/13m9xTrNi-IBqzVJA5UzS3z4PXnMPvV2S/view?usp=drive_link" TargetMode="External"/><Relationship Id="rId53" Type="http://schemas.openxmlformats.org/officeDocument/2006/relationships/hyperlink" Target="https://docs.google.com/presentation/d/1FtURjj0H2Bip2Y1Vzzk9sNgMlpVt80lP/edit?usp=sharing&amp;ouid=111713423622202995933&amp;rtpof=true&amp;sd=true" TargetMode="External"/><Relationship Id="rId52" Type="http://schemas.openxmlformats.org/officeDocument/2006/relationships/hyperlink" Target="https://drive.google.com/file/d/1IZaQpKk0qHffQs7cE6bTmhWFHuRnZAWx/view?usp=drive_link" TargetMode="External"/><Relationship Id="rId55" Type="http://schemas.openxmlformats.org/officeDocument/2006/relationships/hyperlink" Target="https://docs.google.com/presentation/d/143kXFvAJ8k-1yLPaa5JKMEkHr6mMvxrR/edit?usp=sharing&amp;ouid=111713423622202995933&amp;rtpof=true&amp;sd=true" TargetMode="External"/><Relationship Id="rId54" Type="http://schemas.openxmlformats.org/officeDocument/2006/relationships/hyperlink" Target="https://drive.google.com/file/d/1q33-hPWlgluVNB3sSmEf4MyEepzxWEE_/view?usp=drive_link" TargetMode="External"/><Relationship Id="rId57" Type="http://schemas.openxmlformats.org/officeDocument/2006/relationships/hyperlink" Target="https://docs.google.com/presentation/d/1lzfNNzWxww6XeEdX3yXgCx_nCkB6cyDU/edit?usp=sharing&amp;ouid=111713423622202995933&amp;rtpof=true&amp;sd=true" TargetMode="External"/><Relationship Id="rId56" Type="http://schemas.openxmlformats.org/officeDocument/2006/relationships/hyperlink" Target="https://drive.google.com/file/d/1IgExe_sQOYW4D443hJd8SV9HseUHaTa_/view?usp=drive_link" TargetMode="External"/><Relationship Id="rId59" Type="http://schemas.openxmlformats.org/officeDocument/2006/relationships/hyperlink" Target="https://docs.google.com/document/d/1qrxYT62HFzA4PLz0T3PFayJcVkd7R5cODR2FsXkUNQQ/edit?usp=sharing" TargetMode="External"/><Relationship Id="rId58" Type="http://schemas.openxmlformats.org/officeDocument/2006/relationships/hyperlink" Target="https://drive.google.com/file/d/1Ck4-4SIfPP4DgzKvQbSrRtwD6Lq9R_g7/view?usp=drive_link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DDSSiNx3OjJ5UhkEH_bXU9W1YJaXgV2P/view?usp=drive_link" TargetMode="External"/><Relationship Id="rId42" Type="http://schemas.openxmlformats.org/officeDocument/2006/relationships/hyperlink" Target="https://drive.google.com/file/d/1gZIxxjnDCQgplDP3srf0-Z6DQ3Z_btuO/view?usp=drive_link" TargetMode="External"/><Relationship Id="rId41" Type="http://schemas.openxmlformats.org/officeDocument/2006/relationships/hyperlink" Target="https://docs.google.com/presentation/d/1NXwE1ED4_Lwpuwe_GrPXMy1gzM11DmQg/edit?usp=drive_link&amp;ouid=105463591524446090893&amp;rtpof=true&amp;sd=true" TargetMode="External"/><Relationship Id="rId44" Type="http://schemas.openxmlformats.org/officeDocument/2006/relationships/hyperlink" Target="https://docs.google.com/document/d/1V0pei-9_X7_LyjJBgtsGfjsRlKBqeIeGF0NBZW72Wes/edit?usp=drive_link" TargetMode="External"/><Relationship Id="rId43" Type="http://schemas.openxmlformats.org/officeDocument/2006/relationships/hyperlink" Target="https://docs.google.com/document/d/1lHKXyjnfx_-yeEOpOrRdWbXCPKvWDjRpee2K42ny7Qs/edit?usp=drive_link" TargetMode="External"/><Relationship Id="rId46" Type="http://schemas.openxmlformats.org/officeDocument/2006/relationships/hyperlink" Target="https://drive.google.com/open?id=1PJG-cW29e3ALyifbpWjgREhYdlaWFc6x&amp;usp=drive_copy" TargetMode="External"/><Relationship Id="rId45" Type="http://schemas.openxmlformats.org/officeDocument/2006/relationships/hyperlink" Target="https://docs.google.com/document/d/1vcxeXebn2GqLOJr2DddforQUukkgOszjSAG1zu9nXj0/edit?usp=sharing" TargetMode="External"/><Relationship Id="rId107" Type="http://schemas.openxmlformats.org/officeDocument/2006/relationships/hyperlink" Target="https://drive.google.com/file/d/1zZAlL0VbIys9V7fzFF43PMhVWgEsVK1J/view?usp=drive_link" TargetMode="External"/><Relationship Id="rId106" Type="http://schemas.openxmlformats.org/officeDocument/2006/relationships/hyperlink" Target="https://docs.google.com/document/d/1QMgzHUXq0c3s5vOAFztHVjbdd3wyIfe2mWhuYEcC1Zw/edit?usp=drive_link" TargetMode="External"/><Relationship Id="rId105" Type="http://schemas.openxmlformats.org/officeDocument/2006/relationships/hyperlink" Target="https://docs.google.com/document/d/1sQ-FSHHDOtKNmSbgKZPGw4ryqkHNZCoIdy3nCsSuM7k/edit?usp=drive_link" TargetMode="External"/><Relationship Id="rId104" Type="http://schemas.openxmlformats.org/officeDocument/2006/relationships/hyperlink" Target="https://drive.google.com/file/d/1Q0sbTy95iJKQx-TOfG19XYiu1qf2P7mL/view?usp=drive_link" TargetMode="External"/><Relationship Id="rId109" Type="http://schemas.openxmlformats.org/officeDocument/2006/relationships/drawing" Target="../drawings/drawing7.xml"/><Relationship Id="rId108" Type="http://schemas.openxmlformats.org/officeDocument/2006/relationships/hyperlink" Target="https://docs.google.com/document/d/1Lqyq3ZppgJqN0rQ9kCtYz7gW-KRTSUaJJSrnhvd16y4/edit?usp=sharing" TargetMode="External"/><Relationship Id="rId48" Type="http://schemas.openxmlformats.org/officeDocument/2006/relationships/hyperlink" Target="https://drive.google.com/open?id=1f3TstZaDybQs6xsnNiXnjlzILUqf_y8C&amp;usp=drive_copy" TargetMode="External"/><Relationship Id="rId47" Type="http://schemas.openxmlformats.org/officeDocument/2006/relationships/hyperlink" Target="https://docs.google.com/document/d/1CsbAqVyj4H9WDrjYu5m2xczuyeMCgDkLw62wxaVUfLI/edit?usp=sharing" TargetMode="External"/><Relationship Id="rId49" Type="http://schemas.openxmlformats.org/officeDocument/2006/relationships/hyperlink" Target="https://docs.google.com/document/d/1Ykg7GbXiGx7SuwBE-XMbNIYslZjRAmGg420lmOqLhso/edit?usp=sharing" TargetMode="External"/><Relationship Id="rId103" Type="http://schemas.openxmlformats.org/officeDocument/2006/relationships/hyperlink" Target="https://docs.google.com/presentation/d/1wEITWx0a8iiebceoreUEU5T7fkcraa1E/edit?usp=drive_link&amp;ouid=105463591524446090893&amp;rtpof=true&amp;sd=true" TargetMode="External"/><Relationship Id="rId102" Type="http://schemas.openxmlformats.org/officeDocument/2006/relationships/hyperlink" Target="https://drive.google.com/file/d/1BaBrGGl00Ci-izOz3HJXnuUeoCuqrrD7/view?usp=drive_link" TargetMode="External"/><Relationship Id="rId101" Type="http://schemas.openxmlformats.org/officeDocument/2006/relationships/hyperlink" Target="https://docs.google.com/presentation/d/1ffYWTjGVq1S5rAFgOUqDAKEXo-St3QWY/edit?usp=drive_link&amp;ouid=105463591524446090893&amp;rtpof=true&amp;sd=true" TargetMode="External"/><Relationship Id="rId100" Type="http://schemas.openxmlformats.org/officeDocument/2006/relationships/hyperlink" Target="https://drive.google.com/file/d/1Ry-DXXK1FZMurbWBO5TlD61Aw7vwobHo/view?usp=drive_link" TargetMode="External"/><Relationship Id="rId31" Type="http://schemas.openxmlformats.org/officeDocument/2006/relationships/hyperlink" Target="https://docs.google.com/document/d/1Rwnq11rckDDarCMh-Oz33li8TIi1YDu8OcP38DGUJtg/edit?usp=sharing" TargetMode="External"/><Relationship Id="rId30" Type="http://schemas.openxmlformats.org/officeDocument/2006/relationships/hyperlink" Target="https://drive.google.com/file/d/1nmayi04I-hPza6ZD0M8vzQoz6GL_2aiV/view?usp=drive_link" TargetMode="External"/><Relationship Id="rId33" Type="http://schemas.openxmlformats.org/officeDocument/2006/relationships/hyperlink" Target="https://docs.google.com/document/d/17jv-l5R4fUtMTrVEDR6JdntmVS-Kye18gi9gTsxMgo4/edit?usp=sharing" TargetMode="External"/><Relationship Id="rId32" Type="http://schemas.openxmlformats.org/officeDocument/2006/relationships/hyperlink" Target="https://drive.google.com/open?id=1zRE8OFSLmdeqz-VhNJs-QcO4h9bvJt_X&amp;usp=drive_copy" TargetMode="External"/><Relationship Id="rId35" Type="http://schemas.openxmlformats.org/officeDocument/2006/relationships/hyperlink" Target="https://docs.google.com/document/d/1V7oOx4oRFTLCACBJ7108v1azriHpmelvJLlTaqykpic/edit?usp=sharing" TargetMode="External"/><Relationship Id="rId34" Type="http://schemas.openxmlformats.org/officeDocument/2006/relationships/hyperlink" Target="https://drive.google.com/open?id=1ANJo4jd_IkGeUsG5bYFw7Zw4hChuHXq-&amp;usp=drive_copy" TargetMode="External"/><Relationship Id="rId37" Type="http://schemas.openxmlformats.org/officeDocument/2006/relationships/hyperlink" Target="https://docs.google.com/presentation/d/1Ujmx2DyYCJDcm_Fnnj6-sUuBbCkyJwYV/edit?usp=drive_link&amp;ouid=105463591524446090893&amp;rtpof=true&amp;sd=true" TargetMode="External"/><Relationship Id="rId36" Type="http://schemas.openxmlformats.org/officeDocument/2006/relationships/hyperlink" Target="https://drive.google.com/open?id=1u66sDs-BTnEFHr3O-YfAvsLTweTuYB3X&amp;usp=drive_copy" TargetMode="External"/><Relationship Id="rId39" Type="http://schemas.openxmlformats.org/officeDocument/2006/relationships/hyperlink" Target="https://docs.google.com/presentation/d/1UJ16mNpdFb1pWRffbulugiortQt3L7-f/edit?usp=drive_link&amp;ouid=105463591524446090893&amp;rtpof=true&amp;sd=true" TargetMode="External"/><Relationship Id="rId38" Type="http://schemas.openxmlformats.org/officeDocument/2006/relationships/hyperlink" Target="https://drive.google.com/file/d/1BDVfOUvkrafnr3cp9M9k2GRZJsQsEfdR/view?usp=drive_link" TargetMode="External"/><Relationship Id="rId20" Type="http://schemas.openxmlformats.org/officeDocument/2006/relationships/hyperlink" Target="https://drive.google.com/file/d/1aXqT86zSluDR0LzECxD65szGkhzR7t9y/view?usp=drive_link" TargetMode="External"/><Relationship Id="rId22" Type="http://schemas.openxmlformats.org/officeDocument/2006/relationships/hyperlink" Target="https://drive.google.com/file/d/19aQ4B_wGIGQJGwXhKNaYT2LUBCG31ACx/view?usp=drive_link" TargetMode="External"/><Relationship Id="rId21" Type="http://schemas.openxmlformats.org/officeDocument/2006/relationships/hyperlink" Target="https://docs.google.com/presentation/d/1O8oc2iP8w1x68zc9AMET0l1MDiSVQEyx/edit?usp=drive_link&amp;ouid=105463591524446090893&amp;rtpof=true&amp;sd=true" TargetMode="External"/><Relationship Id="rId24" Type="http://schemas.openxmlformats.org/officeDocument/2006/relationships/hyperlink" Target="https://drive.google.com/file/d/1xCGjzxBHbJ2BGJdsx_pSGiPoYwQ-CSic/view?usp=drive_link" TargetMode="External"/><Relationship Id="rId23" Type="http://schemas.openxmlformats.org/officeDocument/2006/relationships/hyperlink" Target="https://docs.google.com/presentation/d/1tkTZxyRHKH-xNhQX4zONbulf34XddjhR/edit?usp=drive_link&amp;ouid=105463591524446090893&amp;rtpof=true&amp;sd=true" TargetMode="External"/><Relationship Id="rId26" Type="http://schemas.openxmlformats.org/officeDocument/2006/relationships/hyperlink" Target="https://drive.google.com/file/d/1sXAwrQPf7AkTjqCLUkiAE7GpKP1Ty-_R/view?usp=drive_link" TargetMode="External"/><Relationship Id="rId25" Type="http://schemas.openxmlformats.org/officeDocument/2006/relationships/hyperlink" Target="https://docs.google.com/document/d/1e4KZSZqBrQ7TwuzH5cP3sZeFDscesS7of6IDB4FFhmk/edit?usp=sharing" TargetMode="External"/><Relationship Id="rId28" Type="http://schemas.openxmlformats.org/officeDocument/2006/relationships/hyperlink" Target="https://drive.google.com/open?id=1L2KCOatLlwN7m1j-6obaTouomkKKgDFa&amp;usp=drive_fs" TargetMode="External"/><Relationship Id="rId27" Type="http://schemas.openxmlformats.org/officeDocument/2006/relationships/hyperlink" Target="https://docs.google.com/document/d/1zNJtz5yYhHg1Zyz1J1fgQpFXmoYZ8Z4bVoIIA2t5M6I/edit?usp=sharing" TargetMode="External"/><Relationship Id="rId29" Type="http://schemas.openxmlformats.org/officeDocument/2006/relationships/hyperlink" Target="https://docs.google.com/document/d/1OpLIgSQDdemrg1ZJN_2rp8Nktti5Chvbj-EAueOblGE/edit?usp=drive_link" TargetMode="External"/><Relationship Id="rId95" Type="http://schemas.openxmlformats.org/officeDocument/2006/relationships/hyperlink" Target="https://docs.google.com/document/d/1mYdCh11hWdrowFQsXv1yIP8VHhN-UbkM6XXvY1QZins/edit?usp=drive_link" TargetMode="External"/><Relationship Id="rId94" Type="http://schemas.openxmlformats.org/officeDocument/2006/relationships/hyperlink" Target="https://drive.google.com/open?id=15ciYjc2pJBxRPwcNHRBjOcYDNJk6SfP7&amp;usp=drive_copy" TargetMode="External"/><Relationship Id="rId97" Type="http://schemas.openxmlformats.org/officeDocument/2006/relationships/hyperlink" Target="https://docs.google.com/presentation/d/1LcJhj5f5feRU5Acesk2rjctmovFasP7d/edit?usp=drive_link&amp;ouid=105463591524446090893&amp;rtpof=true&amp;sd=true" TargetMode="External"/><Relationship Id="rId96" Type="http://schemas.openxmlformats.org/officeDocument/2006/relationships/hyperlink" Target="https://drive.google.com/open?id=1-ZP7lIv7G_MAasstJB1jruNc5FLf1YOr&amp;usp=drive_copy" TargetMode="External"/><Relationship Id="rId11" Type="http://schemas.openxmlformats.org/officeDocument/2006/relationships/hyperlink" Target="https://docs.google.com/document/d/18m8y-LBonz_CPkUfPdoBlrgFHx7cZSewTl_W82qGXfQ/edit?usp=sharing" TargetMode="External"/><Relationship Id="rId99" Type="http://schemas.openxmlformats.org/officeDocument/2006/relationships/hyperlink" Target="https://docs.google.com/presentation/d/1MjBYmydtciVZtsKLLCh5YPwjFVrvAxDv/edit?usp=drive_link&amp;ouid=105463591524446090893&amp;rtpof=true&amp;sd=true" TargetMode="External"/><Relationship Id="rId10" Type="http://schemas.openxmlformats.org/officeDocument/2006/relationships/hyperlink" Target="https://drive.google.com/open?id=15ZN6blG9C_feiZ2LRa2NgaTKRkX2pdRy&amp;usp=drive_copy" TargetMode="External"/><Relationship Id="rId98" Type="http://schemas.openxmlformats.org/officeDocument/2006/relationships/hyperlink" Target="https://drive.google.com/file/d/1r7fYS5l3wG4t99PbgINDSfY57X2f9-m5/view?usp=drive_link" TargetMode="External"/><Relationship Id="rId13" Type="http://schemas.openxmlformats.org/officeDocument/2006/relationships/hyperlink" Target="https://docs.google.com/presentation/d/1OyjocQZFuF9vp_xvWVbD7epoM3C-TdOy/edit?usp=drive_link&amp;ouid=105463591524446090893&amp;rtpof=true&amp;sd=true" TargetMode="External"/><Relationship Id="rId12" Type="http://schemas.openxmlformats.org/officeDocument/2006/relationships/hyperlink" Target="https://drive.google.com/open?id=1mC6WztdW2zZnnHe3iT-mPdq4As6EzPoY&amp;usp=drive_copy" TargetMode="External"/><Relationship Id="rId91" Type="http://schemas.openxmlformats.org/officeDocument/2006/relationships/hyperlink" Target="https://docs.google.com/document/d/1QevilUPrPgEfFI9HzwZIIaudkSgoQ8wjl0and_m3_uQ/edit?usp=drive_link" TargetMode="External"/><Relationship Id="rId90" Type="http://schemas.openxmlformats.org/officeDocument/2006/relationships/hyperlink" Target="https://drive.google.com/open?id=1SJP7xVhoyPOrf0VvexfRLqdDerC-qlNi&amp;usp=drive_copy" TargetMode="External"/><Relationship Id="rId93" Type="http://schemas.openxmlformats.org/officeDocument/2006/relationships/hyperlink" Target="https://docs.google.com/document/d/1BjtWqvI061uABGCAb5AlYGzdMjNvtSn0agSFYaavfg4/edit?usp=drive_link" TargetMode="External"/><Relationship Id="rId92" Type="http://schemas.openxmlformats.org/officeDocument/2006/relationships/hyperlink" Target="https://drive.google.com/open?id=1wGP1CQOd1v3GTtzuBnGmotnZWePUGKFF&amp;usp=drive_copy" TargetMode="External"/><Relationship Id="rId15" Type="http://schemas.openxmlformats.org/officeDocument/2006/relationships/hyperlink" Target="https://docs.google.com/presentation/d/19ZPSsshX7J68tFWAFq99X9VG-jf2FbhT/edit?usp=drive_link&amp;ouid=105463591524446090893&amp;rtpof=true&amp;sd=true" TargetMode="External"/><Relationship Id="rId14" Type="http://schemas.openxmlformats.org/officeDocument/2006/relationships/hyperlink" Target="https://drive.google.com/file/d/1jCcSuItpXgNAA475kdOCsM9Zk1_jCGmO/view?usp=drive_link" TargetMode="External"/><Relationship Id="rId17" Type="http://schemas.openxmlformats.org/officeDocument/2006/relationships/hyperlink" Target="https://docs.google.com/presentation/d/1lGdt4Yv0zTdwuoiVwxT1dT5rfO8bCKv3/edit?usp=drive_link&amp;ouid=105463591524446090893&amp;rtpof=true&amp;sd=true" TargetMode="External"/><Relationship Id="rId16" Type="http://schemas.openxmlformats.org/officeDocument/2006/relationships/hyperlink" Target="https://drive.google.com/file/d/1kxtbIF7uVOPpjH9cTX7RWXkDoNcV0RhZ/view?usp=drive_link" TargetMode="External"/><Relationship Id="rId19" Type="http://schemas.openxmlformats.org/officeDocument/2006/relationships/hyperlink" Target="https://docs.google.com/presentation/d/1HMBuBCHqCanXEvgyxruN8XHYjFRSvYvu/edit?usp=drive_link&amp;ouid=105463591524446090893&amp;rtpof=true&amp;sd=true" TargetMode="External"/><Relationship Id="rId18" Type="http://schemas.openxmlformats.org/officeDocument/2006/relationships/hyperlink" Target="https://drive.google.com/file/d/1KJW6xHGP4uGYW4MjDR-wgauiCGaX0R6j/view?usp=drive_link" TargetMode="External"/><Relationship Id="rId111" Type="http://schemas.openxmlformats.org/officeDocument/2006/relationships/table" Target="../tables/table7.xml"/><Relationship Id="rId84" Type="http://schemas.openxmlformats.org/officeDocument/2006/relationships/hyperlink" Target="https://drive.google.com/file/d/117RTE3QSMwqWjcU9zQRU7b3cT6S_drh6/view?usp=drive_link" TargetMode="External"/><Relationship Id="rId83" Type="http://schemas.openxmlformats.org/officeDocument/2006/relationships/hyperlink" Target="https://docs.google.com/presentation/d/13hKot1UzuEpa-lV5MW0UXuNpPbWhBy4V/edit?usp=drive_link&amp;ouid=105463591524446090893&amp;rtpof=true&amp;sd=true" TargetMode="External"/><Relationship Id="rId86" Type="http://schemas.openxmlformats.org/officeDocument/2006/relationships/hyperlink" Target="https://drive.google.com/file/d/1plGZT1C4Hagqzpl6LOtGErHB3gSrNNtD/view?usp=drive_link" TargetMode="External"/><Relationship Id="rId85" Type="http://schemas.openxmlformats.org/officeDocument/2006/relationships/hyperlink" Target="https://docs.google.com/presentation/d/1yzP6ThyeZR2YiOgeNv7oElRirf55KZ6n/edit?usp=drive_link&amp;ouid=105463591524446090893&amp;rtpof=true&amp;sd=true" TargetMode="External"/><Relationship Id="rId88" Type="http://schemas.openxmlformats.org/officeDocument/2006/relationships/hyperlink" Target="https://docs.google.com/document/d/1XcmS0EXLh-vTgw-QpnFjCmrzQrDg6AepsiDRQPdtNOA/edit?usp=drive_link" TargetMode="External"/><Relationship Id="rId87" Type="http://schemas.openxmlformats.org/officeDocument/2006/relationships/hyperlink" Target="https://docs.google.com/document/d/1qXGZCB9xfimr9_rF1dvv2zezMVSctUC0PfHkFiFYPWs/edit?usp=drive_link" TargetMode="External"/><Relationship Id="rId89" Type="http://schemas.openxmlformats.org/officeDocument/2006/relationships/hyperlink" Target="https://docs.google.com/document/d/1i3uJW5RXS2jdbLo0C7Qn5093ziyQvycBXS0O-ux7SeQ/edit?usp=drive_link" TargetMode="External"/><Relationship Id="rId80" Type="http://schemas.openxmlformats.org/officeDocument/2006/relationships/hyperlink" Target="https://drive.google.com/file/d/1JmSWsTGqVakE_Ikq6GUd2z1Fy2Kuvvoi/view?usp=drive_link" TargetMode="External"/><Relationship Id="rId82" Type="http://schemas.openxmlformats.org/officeDocument/2006/relationships/hyperlink" Target="https://drive.google.com/file/d/1RtMuj1RgSgZvWBYgqghXYwutw6WDNXgb/view?usp=drive_link" TargetMode="External"/><Relationship Id="rId81" Type="http://schemas.openxmlformats.org/officeDocument/2006/relationships/hyperlink" Target="https://docs.google.com/presentation/d/1S4QOEeRrPXAwTl08E2A590tBo1JcQWYM/edit?usp=drive_link&amp;ouid=105463591524446090893&amp;rtpof=true&amp;sd=true" TargetMode="External"/><Relationship Id="rId1" Type="http://schemas.openxmlformats.org/officeDocument/2006/relationships/hyperlink" Target="https://docs.google.com/document/d/1hUpIjTqcDMeT8WnuAm9SRz7PV-Q6D_A9d7Sip0HiiKw/edit?usp=sharing" TargetMode="External"/><Relationship Id="rId2" Type="http://schemas.openxmlformats.org/officeDocument/2006/relationships/hyperlink" Target="https://drive.google.com/open?id=17s8Yq1lem1mT2r3KWTHK0znPn2yBRCBk&amp;usp=drive_copy" TargetMode="External"/><Relationship Id="rId3" Type="http://schemas.openxmlformats.org/officeDocument/2006/relationships/hyperlink" Target="https://docs.google.com/document/d/1jTpum1RUZq7da9zEzUarCxWBUrXhdtARIV4qEZoqE9I/edit?usp=sharing" TargetMode="External"/><Relationship Id="rId4" Type="http://schemas.openxmlformats.org/officeDocument/2006/relationships/hyperlink" Target="https://drive.google.com/open?id=1YzBK78jX9wveuQOEwmI34ICzoHijhHZn&amp;usp=drive_copy" TargetMode="External"/><Relationship Id="rId9" Type="http://schemas.openxmlformats.org/officeDocument/2006/relationships/hyperlink" Target="https://docs.google.com/document/d/1Bi7BhVlrnBBtEVha5QjKl13U365zym0CqWEyNztjtRI/edit?usp=sharing" TargetMode="External"/><Relationship Id="rId5" Type="http://schemas.openxmlformats.org/officeDocument/2006/relationships/hyperlink" Target="https://docs.google.com/document/d/19lQOKcCIXDcEghZY_CEJumKdeRiejcRjmzaTSQ51Cmw/edit?usp=sharing" TargetMode="External"/><Relationship Id="rId6" Type="http://schemas.openxmlformats.org/officeDocument/2006/relationships/hyperlink" Target="https://drive.google.com/open?id=1OtwectGgAg3q1tCGBJJO1jFyIBna6X0h&amp;usp=drive_copy" TargetMode="External"/><Relationship Id="rId7" Type="http://schemas.openxmlformats.org/officeDocument/2006/relationships/hyperlink" Target="https://docs.google.com/document/d/1kE8mfsQAaYbaxGLASpSvnMtVRX_-mbsdGvYmTf1uU3Y/edit?usp=sharing" TargetMode="External"/><Relationship Id="rId8" Type="http://schemas.openxmlformats.org/officeDocument/2006/relationships/hyperlink" Target="https://drive.google.com/open?id=1_9OdWA_V811EYA4zUmaCbVjscpmIoJgH&amp;usp=drive_copy" TargetMode="External"/><Relationship Id="rId73" Type="http://schemas.openxmlformats.org/officeDocument/2006/relationships/hyperlink" Target="https://docs.google.com/document/d/1vSBkVv7kTGJEZKXMlrdKONhya0zNWcL2sUnIhv_kULQ/edit?usp=drive_link" TargetMode="External"/><Relationship Id="rId72" Type="http://schemas.openxmlformats.org/officeDocument/2006/relationships/hyperlink" Target="https://drive.google.com/open?id=1SVlJtZ5AMipPPIop3MZ7DzdMw35wo3Nr&amp;usp=drive_copy" TargetMode="External"/><Relationship Id="rId75" Type="http://schemas.openxmlformats.org/officeDocument/2006/relationships/hyperlink" Target="https://docs.google.com/document/d/1g3P9gEIUvplxI_efpDLhlE5HI4k2U5geWuZz2qDYRgk/edit?usp=drive_link" TargetMode="External"/><Relationship Id="rId74" Type="http://schemas.openxmlformats.org/officeDocument/2006/relationships/hyperlink" Target="https://drive.google.com/open?id=1aHwEQOLdXFBAab6gATuKN9Qby8X46RIj&amp;usp=drive_copy" TargetMode="External"/><Relationship Id="rId77" Type="http://schemas.openxmlformats.org/officeDocument/2006/relationships/hyperlink" Target="https://docs.google.com/presentation/d/10s74smt0qwesAJCGuQNv8fiMfy38UqeS/edit?usp=drive_link&amp;ouid=105463591524446090893&amp;rtpof=true&amp;sd=true" TargetMode="External"/><Relationship Id="rId76" Type="http://schemas.openxmlformats.org/officeDocument/2006/relationships/hyperlink" Target="https://drive.google.com/open?id=1xYfH36kBBkW3UbUnMnoIIBpUzRTN-pIU&amp;usp=drive_copy" TargetMode="External"/><Relationship Id="rId79" Type="http://schemas.openxmlformats.org/officeDocument/2006/relationships/hyperlink" Target="https://docs.google.com/presentation/d/1BZyVeaewwUuYypQ2YPIK559DdhMCkxHh/edit?usp=drive_link&amp;ouid=105463591524446090893&amp;rtpof=true&amp;sd=true" TargetMode="External"/><Relationship Id="rId78" Type="http://schemas.openxmlformats.org/officeDocument/2006/relationships/hyperlink" Target="https://drive.google.com/file/d/1akmT2LyV3cqBWZ9Ky0mW99IL_z_KxsQ3/view?usp=drive_link" TargetMode="External"/><Relationship Id="rId71" Type="http://schemas.openxmlformats.org/officeDocument/2006/relationships/hyperlink" Target="https://docs.google.com/document/d/1jAL8R-h9wVySNyRupj9hhsW43jw0-honX2HQfWeu4Xg/edit?usp=drive_link" TargetMode="External"/><Relationship Id="rId70" Type="http://schemas.openxmlformats.org/officeDocument/2006/relationships/hyperlink" Target="https://drive.google.com/file/d/1cNWeM57wBognVco65cMgxxMQ6cIOErie/view?usp=drive_link" TargetMode="External"/><Relationship Id="rId62" Type="http://schemas.openxmlformats.org/officeDocument/2006/relationships/hyperlink" Target="https://drive.google.com/file/d/1ME51DDN07UVqoc3JPM8lYiBDiXc6CKvQ/view?usp=drive_link" TargetMode="External"/><Relationship Id="rId61" Type="http://schemas.openxmlformats.org/officeDocument/2006/relationships/hyperlink" Target="https://docs.google.com/presentation/d/1Psf6UN2dV7O_MPqMEYs_CyqG94TzMSgB/edit?usp=drive_link&amp;ouid=105463591524446090893&amp;rtpof=true&amp;sd=true" TargetMode="External"/><Relationship Id="rId64" Type="http://schemas.openxmlformats.org/officeDocument/2006/relationships/hyperlink" Target="https://drive.google.com/file/d/13Y6Pk4U-GvlgR9L-uE79IOJSA-kXCGJS/view?usp=drive_link" TargetMode="External"/><Relationship Id="rId63" Type="http://schemas.openxmlformats.org/officeDocument/2006/relationships/hyperlink" Target="https://docs.google.com/presentation/d/17jkImnQpHJrSuRNF01fra_u1F3gMUXTD/edit?usp=drive_link&amp;ouid=105463591524446090893&amp;rtpof=true&amp;sd=true" TargetMode="External"/><Relationship Id="rId66" Type="http://schemas.openxmlformats.org/officeDocument/2006/relationships/hyperlink" Target="https://docs.google.com/document/d/1ib6mcLJGT7Dbc8ZyhFCkeSD3TR5L8OQHid6AZuhRAJ4/edit?usp=sharing" TargetMode="External"/><Relationship Id="rId65" Type="http://schemas.openxmlformats.org/officeDocument/2006/relationships/hyperlink" Target="https://docs.google.com/document/d/1s5bKIOn5aNLO72vUj4GYD9cgqfPsZgSabstK-PYR3Nc/edit?usp=sharing" TargetMode="External"/><Relationship Id="rId68" Type="http://schemas.openxmlformats.org/officeDocument/2006/relationships/hyperlink" Target="https://drive.google.com/open?id=1Eezq0J8pKJwl7TGjKsRNmD5VwWspSVOU&amp;usp=drive_copy" TargetMode="External"/><Relationship Id="rId67" Type="http://schemas.openxmlformats.org/officeDocument/2006/relationships/hyperlink" Target="https://docs.google.com/document/d/1Pr-VtRud6ZOtTt6JSuHSQEmUCEQrBsJUhf1PNaq7d8w/edit?usp=drive_link" TargetMode="External"/><Relationship Id="rId60" Type="http://schemas.openxmlformats.org/officeDocument/2006/relationships/hyperlink" Target="https://drive.google.com/file/d/1Zg-C4UGVW-KqIuBfrrANdQjqNhpWcxu3/view?usp=drive_link" TargetMode="External"/><Relationship Id="rId69" Type="http://schemas.openxmlformats.org/officeDocument/2006/relationships/hyperlink" Target="https://docs.google.com/document/d/1b4JHcBeD61fZvy3V_2hteApuX0Mw5mwLBJ0CLKNl6Hc/edit?usp=drive_link" TargetMode="External"/><Relationship Id="rId51" Type="http://schemas.openxmlformats.org/officeDocument/2006/relationships/hyperlink" Target="https://docs.google.com/document/d/1r0v2YUnQWj6Gp6kiMygPKPFkz9VuJBhjieeeMXXPJcM/edit?usp=sharing" TargetMode="External"/><Relationship Id="rId50" Type="http://schemas.openxmlformats.org/officeDocument/2006/relationships/hyperlink" Target="https://drive.google.com/open?id=1PWHoVHh0D3U_gQc_mdzAMSmVpOIZ_ovq&amp;usp=drive_copy" TargetMode="External"/><Relationship Id="rId53" Type="http://schemas.openxmlformats.org/officeDocument/2006/relationships/hyperlink" Target="https://docs.google.com/document/d/1qG7RrzXxTrTvLnGJRcsaIl0evEUCG843xZst4qXRluI/edit?usp=sharing" TargetMode="External"/><Relationship Id="rId52" Type="http://schemas.openxmlformats.org/officeDocument/2006/relationships/hyperlink" Target="https://drive.google.com/open?id=1QGEnoyM_XPnzxXEPCvHZOmKoq0Jxno_O&amp;usp=drive_copy" TargetMode="External"/><Relationship Id="rId55" Type="http://schemas.openxmlformats.org/officeDocument/2006/relationships/hyperlink" Target="https://docs.google.com/presentation/d/1Pu0yaSkGzo52D37lIYmt6qo2vW6Of_AB/edit?usp=drive_link&amp;ouid=105463591524446090893&amp;rtpof=true&amp;sd=true" TargetMode="External"/><Relationship Id="rId54" Type="http://schemas.openxmlformats.org/officeDocument/2006/relationships/hyperlink" Target="https://drive.google.com/open?id=1FlF90IgPnPQ6hONjCkfPL7VKZzfIc-ct&amp;usp=drive_copy" TargetMode="External"/><Relationship Id="rId57" Type="http://schemas.openxmlformats.org/officeDocument/2006/relationships/hyperlink" Target="https://docs.google.com/presentation/d/1oShi41LfbsjDScfvd2h49EsJkFrFGsda/edit?usp=drive_link&amp;ouid=105463591524446090893&amp;rtpof=true&amp;sd=true" TargetMode="External"/><Relationship Id="rId56" Type="http://schemas.openxmlformats.org/officeDocument/2006/relationships/hyperlink" Target="https://drive.google.com/file/d/1eEO1WII-wXeJssKjytCm9b1LV7WwIAAu/view?usp=drive_link" TargetMode="External"/><Relationship Id="rId59" Type="http://schemas.openxmlformats.org/officeDocument/2006/relationships/hyperlink" Target="https://docs.google.com/presentation/d/11_313Kz0WDLUvn5tjQbgtPfunazH83KG/edit?usp=drive_link&amp;ouid=105463591524446090893&amp;rtpof=true&amp;sd=true" TargetMode="External"/><Relationship Id="rId58" Type="http://schemas.openxmlformats.org/officeDocument/2006/relationships/hyperlink" Target="https://drive.google.com/file/d/1GkbYp3GvhNuixgKhYrfArHcvXKiNPIdf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23.0"/>
    <col customWidth="1" min="2" max="2" width="10.63"/>
    <col customWidth="1" min="3" max="3" width="19.13"/>
    <col customWidth="1" min="4" max="4" width="20.38"/>
    <col customWidth="1" min="5" max="5" width="24.38"/>
    <col customWidth="1" min="6" max="6" width="6.75"/>
    <col customWidth="1" min="7" max="7" width="27.0"/>
    <col customWidth="1" min="8" max="8" width="17.75"/>
    <col customWidth="1" min="9" max="9" width="20.13"/>
    <col customWidth="1" min="10" max="10" width="21.75"/>
    <col customWidth="1" min="11" max="11" width="16.25"/>
    <col customWidth="1" min="12" max="12" width="20.13"/>
    <col customWidth="1" min="13" max="13" width="21.75"/>
    <col customWidth="1" min="14" max="14" width="16.63"/>
    <col customWidth="1" min="15" max="15" width="20.13"/>
    <col customWidth="1" min="16" max="17" width="21.75"/>
    <col customWidth="1" min="18" max="18" width="20.13"/>
    <col customWidth="1" min="19" max="19" width="21.75"/>
    <col customWidth="1" min="20" max="20" width="16.25"/>
    <col customWidth="1" min="21" max="21" width="20.13"/>
    <col customWidth="1" min="22" max="22" width="21.75"/>
    <col customWidth="1" min="23" max="23" width="16.25"/>
    <col customWidth="1" min="24" max="24" width="20.13"/>
    <col customWidth="1" min="25" max="25" width="21.75"/>
    <col customWidth="1" min="26" max="26" width="30.13"/>
    <col customWidth="1" min="27" max="27" width="16.25"/>
    <col customWidth="1" min="28" max="28" width="20.13"/>
    <col customWidth="1" min="29" max="29" width="21.7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4" t="s">
        <v>25</v>
      </c>
      <c r="AA1" s="1" t="s">
        <v>26</v>
      </c>
      <c r="AB1" s="1" t="s">
        <v>27</v>
      </c>
      <c r="AC1" s="1" t="s">
        <v>28</v>
      </c>
    </row>
    <row r="2" ht="22.5" customHeight="1">
      <c r="A2" s="5">
        <v>1.0</v>
      </c>
      <c r="B2" s="5">
        <v>1.0</v>
      </c>
      <c r="C2" s="5" t="s">
        <v>29</v>
      </c>
      <c r="D2" s="6" t="s">
        <v>30</v>
      </c>
      <c r="E2" s="7" t="str">
        <f>IFERROR(__xludf.DUMMYFUNCTION("IF(AND(F2 &gt; 0.3, F2 &lt; 0.5), SPARKLINE(F2,{""charttype"",""bar"";""color1"",""Gold"";""max"",1}),
IF(F2 = 1, SPARKLINE(F2,{""charttype"",""bar"";""color1"",""Lime"";""max"",1}),
IF(F2 &gt;= 0.5, SPARKLINE(F2,{""charttype"",""bar"";""color1"",""GreenYellow"";"&amp;"""max"",1}),
SPARKLINE(F2,{""charttype"",""bar"";""color1"",""DarkOrange"";""max"",1}))))"),"")</f>
        <v/>
      </c>
      <c r="F2" s="8">
        <f t="shared" ref="F2:F31" si="1">IF(OR(D2="ROTEIRO DE VÍDEO", D2="VÍDEO"), (IF(J2="Concluído", 1, 0) + IF(M2="Concluído", 1, 0) + IF(P2="Concluído", 1, 0) + IF(S2="Concluído", 1, 0) + IF(Y2="Concluído", 1, 0) + IF(AC2="Concluído", 1, 0)) / 6,
IF(OR(D2="SLIDE", D2="FÓRUM", D2="PLANO DE AULA", D2="QUIZ", D2="TAREFA", D2="EBOOK", D2="PDF(AVULSO)"), (IF(J2="Concluído", 1, 0) + IF(M2="Concluído", 1, 0) + IF(S2="Concluído", 1, 0)  + IF(Y2="Concluído", 1, 0) + IF(AC2="Concluído", 1, 0)) / 5,0))</f>
        <v>1</v>
      </c>
      <c r="G2" s="9" t="s">
        <v>31</v>
      </c>
      <c r="H2" s="9" t="s">
        <v>32</v>
      </c>
      <c r="I2" s="10">
        <v>45937.0</v>
      </c>
      <c r="J2" s="11" t="s">
        <v>33</v>
      </c>
      <c r="K2" s="5" t="s">
        <v>34</v>
      </c>
      <c r="L2" s="10">
        <v>45915.0</v>
      </c>
      <c r="M2" s="11" t="s">
        <v>33</v>
      </c>
      <c r="N2" s="5" t="s">
        <v>35</v>
      </c>
      <c r="O2" s="10">
        <v>45917.0</v>
      </c>
      <c r="P2" s="12" t="s">
        <v>33</v>
      </c>
      <c r="Q2" s="13" t="s">
        <v>36</v>
      </c>
      <c r="R2" s="10">
        <v>45950.0</v>
      </c>
      <c r="S2" s="12" t="s">
        <v>33</v>
      </c>
      <c r="T2" s="5" t="s">
        <v>37</v>
      </c>
      <c r="U2" s="10"/>
      <c r="V2" s="12" t="s">
        <v>38</v>
      </c>
      <c r="W2" s="5" t="s">
        <v>39</v>
      </c>
      <c r="X2" s="10">
        <v>45922.0</v>
      </c>
      <c r="Y2" s="12" t="s">
        <v>33</v>
      </c>
      <c r="Z2" s="14" t="s">
        <v>40</v>
      </c>
      <c r="AA2" s="5" t="s">
        <v>41</v>
      </c>
      <c r="AB2" s="10">
        <v>45923.0</v>
      </c>
      <c r="AC2" s="11" t="s">
        <v>33</v>
      </c>
    </row>
    <row r="3" ht="22.5" customHeight="1">
      <c r="A3" s="5">
        <v>1.0</v>
      </c>
      <c r="B3" s="5">
        <v>1.0</v>
      </c>
      <c r="C3" s="5" t="s">
        <v>42</v>
      </c>
      <c r="D3" s="6" t="s">
        <v>30</v>
      </c>
      <c r="E3" s="7" t="str">
        <f>IFERROR(__xludf.DUMMYFUNCTION("IF(AND(F3 &gt; 0.3, F3 &lt; 0.5), SPARKLINE(F3,{""charttype"",""bar"";""color1"",""Gold"";""max"",1}),
IF(F3 = 1, SPARKLINE(F3,{""charttype"",""bar"";""color1"",""Lime"";""max"",1}),
IF(F3 &gt;= 0.5, SPARKLINE(F3,{""charttype"",""bar"";""color1"",""GreenYellow"";"&amp;"""max"",1}),
SPARKLINE(F3,{""charttype"",""bar"";""color1"",""DarkOrange"";""max"",1}))))"),"")</f>
        <v/>
      </c>
      <c r="F3" s="8">
        <f t="shared" si="1"/>
        <v>1</v>
      </c>
      <c r="G3" s="14" t="s">
        <v>43</v>
      </c>
      <c r="H3" s="9" t="s">
        <v>32</v>
      </c>
      <c r="I3" s="10">
        <v>45933.0</v>
      </c>
      <c r="J3" s="11" t="s">
        <v>33</v>
      </c>
      <c r="K3" s="5" t="s">
        <v>34</v>
      </c>
      <c r="L3" s="10">
        <v>45915.0</v>
      </c>
      <c r="M3" s="11" t="s">
        <v>33</v>
      </c>
      <c r="N3" s="5" t="s">
        <v>35</v>
      </c>
      <c r="O3" s="10">
        <v>45917.0</v>
      </c>
      <c r="P3" s="11" t="s">
        <v>33</v>
      </c>
      <c r="Q3" s="13" t="s">
        <v>36</v>
      </c>
      <c r="R3" s="10">
        <v>45950.0</v>
      </c>
      <c r="S3" s="11" t="s">
        <v>33</v>
      </c>
      <c r="T3" s="5" t="s">
        <v>37</v>
      </c>
      <c r="U3" s="10"/>
      <c r="V3" s="11" t="s">
        <v>38</v>
      </c>
      <c r="W3" s="5" t="s">
        <v>39</v>
      </c>
      <c r="X3" s="10">
        <v>45922.0</v>
      </c>
      <c r="Y3" s="11" t="s">
        <v>33</v>
      </c>
      <c r="Z3" s="14" t="s">
        <v>44</v>
      </c>
      <c r="AA3" s="5" t="s">
        <v>41</v>
      </c>
      <c r="AB3" s="10">
        <v>45923.0</v>
      </c>
      <c r="AC3" s="11" t="s">
        <v>33</v>
      </c>
    </row>
    <row r="4" ht="22.5" customHeight="1">
      <c r="A4" s="5">
        <v>1.0</v>
      </c>
      <c r="B4" s="5">
        <v>1.0</v>
      </c>
      <c r="C4" s="5" t="s">
        <v>45</v>
      </c>
      <c r="D4" s="6" t="s">
        <v>30</v>
      </c>
      <c r="E4" s="7" t="str">
        <f>IFERROR(__xludf.DUMMYFUNCTION("IF(AND(F4 &gt; 0.3, F4 &lt; 0.5), SPARKLINE(F4,{""charttype"",""bar"";""color1"",""Gold"";""max"",1}),
IF(F4 = 1, SPARKLINE(F4,{""charttype"",""bar"";""color1"",""Lime"";""max"",1}),
IF(F4 &gt;= 0.5, SPARKLINE(F4,{""charttype"",""bar"";""color1"",""GreenYellow"";"&amp;"""max"",1}),
SPARKLINE(F4,{""charttype"",""bar"";""color1"",""DarkOrange"";""max"",1}))))"),"")</f>
        <v/>
      </c>
      <c r="F4" s="8">
        <f t="shared" si="1"/>
        <v>1</v>
      </c>
      <c r="G4" s="15" t="s">
        <v>46</v>
      </c>
      <c r="H4" s="9" t="s">
        <v>32</v>
      </c>
      <c r="I4" s="10">
        <v>45935.0</v>
      </c>
      <c r="J4" s="11" t="s">
        <v>33</v>
      </c>
      <c r="K4" s="5" t="s">
        <v>34</v>
      </c>
      <c r="L4" s="10">
        <v>45915.0</v>
      </c>
      <c r="M4" s="11" t="s">
        <v>33</v>
      </c>
      <c r="N4" s="5" t="s">
        <v>35</v>
      </c>
      <c r="O4" s="10">
        <v>45917.0</v>
      </c>
      <c r="P4" s="11" t="s">
        <v>33</v>
      </c>
      <c r="Q4" s="13" t="s">
        <v>36</v>
      </c>
      <c r="R4" s="10">
        <v>45950.0</v>
      </c>
      <c r="S4" s="11" t="s">
        <v>33</v>
      </c>
      <c r="T4" s="5" t="s">
        <v>37</v>
      </c>
      <c r="U4" s="10"/>
      <c r="V4" s="11" t="s">
        <v>38</v>
      </c>
      <c r="W4" s="5" t="s">
        <v>39</v>
      </c>
      <c r="X4" s="10">
        <v>45922.0</v>
      </c>
      <c r="Y4" s="11" t="s">
        <v>33</v>
      </c>
      <c r="Z4" s="14" t="s">
        <v>47</v>
      </c>
      <c r="AA4" s="5" t="s">
        <v>41</v>
      </c>
      <c r="AB4" s="10">
        <v>45923.0</v>
      </c>
      <c r="AC4" s="11" t="s">
        <v>33</v>
      </c>
    </row>
    <row r="5" ht="22.5" customHeight="1">
      <c r="A5" s="5">
        <v>1.0</v>
      </c>
      <c r="B5" s="5">
        <v>1.0</v>
      </c>
      <c r="C5" s="5" t="s">
        <v>48</v>
      </c>
      <c r="D5" s="16" t="s">
        <v>49</v>
      </c>
      <c r="E5" s="7" t="str">
        <f>IFERROR(__xludf.DUMMYFUNCTION("IF(AND(F5 &gt; 0.3, F5 &lt; 0.5), SPARKLINE(F5,{""charttype"",""bar"";""color1"",""Gold"";""max"",1}),
IF(F5 = 1, SPARKLINE(F5,{""charttype"",""bar"";""color1"",""Lime"";""max"",1}),
IF(F5 &gt;= 0.5, SPARKLINE(F5,{""charttype"",""bar"";""color1"",""GreenYellow"";"&amp;"""max"",1}),
SPARKLINE(F5,{""charttype"",""bar"";""color1"",""DarkOrange"";""max"",1}))))"),"")</f>
        <v/>
      </c>
      <c r="F5" s="8">
        <f t="shared" si="1"/>
        <v>1</v>
      </c>
      <c r="G5" s="14" t="s">
        <v>50</v>
      </c>
      <c r="H5" s="9" t="s">
        <v>32</v>
      </c>
      <c r="I5" s="10">
        <v>45912.0</v>
      </c>
      <c r="J5" s="11" t="s">
        <v>33</v>
      </c>
      <c r="K5" s="5" t="s">
        <v>34</v>
      </c>
      <c r="L5" s="10">
        <v>45915.0</v>
      </c>
      <c r="M5" s="11" t="s">
        <v>33</v>
      </c>
      <c r="N5" s="5" t="s">
        <v>35</v>
      </c>
      <c r="O5" s="10"/>
      <c r="P5" s="11"/>
      <c r="Q5" s="13" t="s">
        <v>36</v>
      </c>
      <c r="R5" s="10">
        <v>45950.0</v>
      </c>
      <c r="S5" s="11" t="s">
        <v>33</v>
      </c>
      <c r="T5" s="5" t="s">
        <v>37</v>
      </c>
      <c r="U5" s="10"/>
      <c r="V5" s="11" t="s">
        <v>33</v>
      </c>
      <c r="W5" s="5" t="s">
        <v>51</v>
      </c>
      <c r="X5" s="10">
        <v>45918.0</v>
      </c>
      <c r="Y5" s="11" t="s">
        <v>33</v>
      </c>
      <c r="Z5" s="14" t="s">
        <v>52</v>
      </c>
      <c r="AA5" s="5" t="s">
        <v>41</v>
      </c>
      <c r="AB5" s="10">
        <v>45919.0</v>
      </c>
      <c r="AC5" s="11" t="s">
        <v>33</v>
      </c>
    </row>
    <row r="6" ht="22.5" customHeight="1">
      <c r="A6" s="5">
        <v>1.0</v>
      </c>
      <c r="B6" s="5">
        <v>1.0</v>
      </c>
      <c r="C6" s="5" t="s">
        <v>53</v>
      </c>
      <c r="D6" s="16" t="s">
        <v>49</v>
      </c>
      <c r="E6" s="7" t="str">
        <f>IFERROR(__xludf.DUMMYFUNCTION("IF(AND(F6 &gt; 0.3, F6 &lt; 0.5), SPARKLINE(F6,{""charttype"",""bar"";""color1"",""Gold"";""max"",1}),
IF(F6 = 1, SPARKLINE(F6,{""charttype"",""bar"";""color1"",""Lime"";""max"",1}),
IF(F6 &gt;= 0.5, SPARKLINE(F6,{""charttype"",""bar"";""color1"",""GreenYellow"";"&amp;"""max"",1}),
SPARKLINE(F6,{""charttype"",""bar"";""color1"",""DarkOrange"";""max"",1}))))"),"")</f>
        <v/>
      </c>
      <c r="F6" s="8">
        <f t="shared" si="1"/>
        <v>1</v>
      </c>
      <c r="G6" s="14" t="s">
        <v>54</v>
      </c>
      <c r="H6" s="9" t="s">
        <v>32</v>
      </c>
      <c r="I6" s="10">
        <v>45912.0</v>
      </c>
      <c r="J6" s="11" t="s">
        <v>33</v>
      </c>
      <c r="K6" s="5" t="s">
        <v>34</v>
      </c>
      <c r="L6" s="10">
        <v>45915.0</v>
      </c>
      <c r="M6" s="11" t="s">
        <v>33</v>
      </c>
      <c r="N6" s="5" t="s">
        <v>35</v>
      </c>
      <c r="O6" s="10"/>
      <c r="P6" s="11" t="s">
        <v>38</v>
      </c>
      <c r="Q6" s="13" t="s">
        <v>36</v>
      </c>
      <c r="R6" s="10">
        <v>45950.0</v>
      </c>
      <c r="S6" s="11" t="s">
        <v>33</v>
      </c>
      <c r="T6" s="5" t="s">
        <v>37</v>
      </c>
      <c r="U6" s="10"/>
      <c r="V6" s="11" t="s">
        <v>33</v>
      </c>
      <c r="W6" s="5" t="s">
        <v>51</v>
      </c>
      <c r="X6" s="10">
        <v>45918.0</v>
      </c>
      <c r="Y6" s="11" t="s">
        <v>33</v>
      </c>
      <c r="Z6" s="17" t="s">
        <v>55</v>
      </c>
      <c r="AA6" s="5" t="s">
        <v>41</v>
      </c>
      <c r="AB6" s="10">
        <v>45919.0</v>
      </c>
      <c r="AC6" s="11" t="s">
        <v>33</v>
      </c>
    </row>
    <row r="7" ht="22.5" customHeight="1">
      <c r="A7" s="5">
        <v>1.0</v>
      </c>
      <c r="B7" s="5">
        <v>1.0</v>
      </c>
      <c r="C7" s="5" t="s">
        <v>56</v>
      </c>
      <c r="D7" s="16" t="s">
        <v>49</v>
      </c>
      <c r="E7" s="7" t="str">
        <f>IFERROR(__xludf.DUMMYFUNCTION("IF(AND(F7 &gt; 0.3, F7 &lt; 0.5), SPARKLINE(F7,{""charttype"",""bar"";""color1"",""Gold"";""max"",1}),
IF(F7 = 1, SPARKLINE(F7,{""charttype"",""bar"";""color1"",""Lime"";""max"",1}),
IF(F7 &gt;= 0.5, SPARKLINE(F7,{""charttype"",""bar"";""color1"",""GreenYellow"";"&amp;"""max"",1}),
SPARKLINE(F7,{""charttype"",""bar"";""color1"",""DarkOrange"";""max"",1}))))"),"")</f>
        <v/>
      </c>
      <c r="F7" s="8">
        <f t="shared" si="1"/>
        <v>1</v>
      </c>
      <c r="G7" s="14" t="s">
        <v>57</v>
      </c>
      <c r="H7" s="9" t="s">
        <v>32</v>
      </c>
      <c r="I7" s="10">
        <v>45912.0</v>
      </c>
      <c r="J7" s="11" t="s">
        <v>33</v>
      </c>
      <c r="K7" s="5" t="s">
        <v>34</v>
      </c>
      <c r="L7" s="10">
        <v>45915.0</v>
      </c>
      <c r="M7" s="11" t="s">
        <v>33</v>
      </c>
      <c r="N7" s="5" t="s">
        <v>35</v>
      </c>
      <c r="O7" s="10"/>
      <c r="P7" s="11" t="s">
        <v>38</v>
      </c>
      <c r="Q7" s="13" t="s">
        <v>36</v>
      </c>
      <c r="R7" s="10">
        <v>45950.0</v>
      </c>
      <c r="S7" s="11" t="s">
        <v>33</v>
      </c>
      <c r="T7" s="5" t="s">
        <v>37</v>
      </c>
      <c r="U7" s="10"/>
      <c r="V7" s="11" t="s">
        <v>33</v>
      </c>
      <c r="W7" s="5" t="s">
        <v>51</v>
      </c>
      <c r="X7" s="10">
        <v>45918.0</v>
      </c>
      <c r="Y7" s="11" t="s">
        <v>33</v>
      </c>
      <c r="Z7" s="14" t="s">
        <v>58</v>
      </c>
      <c r="AA7" s="5" t="s">
        <v>41</v>
      </c>
      <c r="AB7" s="10">
        <v>45919.0</v>
      </c>
      <c r="AC7" s="11" t="s">
        <v>33</v>
      </c>
    </row>
    <row r="8" ht="22.5" customHeight="1">
      <c r="A8" s="5">
        <v>1.0</v>
      </c>
      <c r="B8" s="5">
        <v>1.0</v>
      </c>
      <c r="C8" s="5" t="s">
        <v>59</v>
      </c>
      <c r="D8" s="16" t="s">
        <v>60</v>
      </c>
      <c r="E8" s="7" t="str">
        <f>IFERROR(__xludf.DUMMYFUNCTION("IF(AND(F8 &gt; 0.3, F8 &lt; 0.5), SPARKLINE(F8,{""charttype"",""bar"";""color1"",""Gold"";""max"",1}),
IF(F8 = 1, SPARKLINE(F8,{""charttype"",""bar"";""color1"",""Lime"";""max"",1}),
IF(F8 &gt;= 0.5, SPARKLINE(F8,{""charttype"",""bar"";""color1"",""GreenYellow"";"&amp;"""max"",1}),
SPARKLINE(F8,{""charttype"",""bar"";""color1"",""DarkOrange"";""max"",1}))))"),"")</f>
        <v/>
      </c>
      <c r="F8" s="8">
        <f t="shared" si="1"/>
        <v>1</v>
      </c>
      <c r="G8" s="14" t="s">
        <v>61</v>
      </c>
      <c r="H8" s="9" t="s">
        <v>32</v>
      </c>
      <c r="I8" s="10">
        <v>45912.0</v>
      </c>
      <c r="J8" s="11" t="s">
        <v>33</v>
      </c>
      <c r="K8" s="5" t="s">
        <v>34</v>
      </c>
      <c r="L8" s="10">
        <v>45915.0</v>
      </c>
      <c r="M8" s="11" t="s">
        <v>33</v>
      </c>
      <c r="N8" s="5" t="s">
        <v>35</v>
      </c>
      <c r="O8" s="10"/>
      <c r="P8" s="11" t="s">
        <v>38</v>
      </c>
      <c r="Q8" s="13" t="s">
        <v>36</v>
      </c>
      <c r="R8" s="10">
        <v>45950.0</v>
      </c>
      <c r="S8" s="11" t="s">
        <v>33</v>
      </c>
      <c r="T8" s="5" t="s">
        <v>37</v>
      </c>
      <c r="U8" s="10"/>
      <c r="V8" s="11" t="s">
        <v>38</v>
      </c>
      <c r="W8" s="5" t="s">
        <v>51</v>
      </c>
      <c r="X8" s="10">
        <v>45918.0</v>
      </c>
      <c r="Y8" s="11" t="s">
        <v>33</v>
      </c>
      <c r="Z8" s="15" t="s">
        <v>62</v>
      </c>
      <c r="AA8" s="5" t="s">
        <v>41</v>
      </c>
      <c r="AB8" s="10">
        <v>45919.0</v>
      </c>
      <c r="AC8" s="11" t="s">
        <v>33</v>
      </c>
    </row>
    <row r="9" ht="22.5" customHeight="1">
      <c r="A9" s="5">
        <v>1.0</v>
      </c>
      <c r="B9" s="5">
        <v>1.0</v>
      </c>
      <c r="C9" s="5" t="s">
        <v>63</v>
      </c>
      <c r="D9" s="16" t="s">
        <v>64</v>
      </c>
      <c r="E9" s="7" t="str">
        <f>IFERROR(__xludf.DUMMYFUNCTION("IF(AND(F9 &gt; 0.3, F9 &lt; 0.5), SPARKLINE(F9,{""charttype"",""bar"";""color1"",""Gold"";""max"",1}),
IF(F9 = 1, SPARKLINE(F9,{""charttype"",""bar"";""color1"",""Lime"";""max"",1}),
IF(F9 &gt;= 0.5, SPARKLINE(F9,{""charttype"",""bar"";""color1"",""GreenYellow"";"&amp;"""max"",1}),
SPARKLINE(F9,{""charttype"",""bar"";""color1"",""DarkOrange"";""max"",1}))))"),"")</f>
        <v/>
      </c>
      <c r="F9" s="8">
        <f t="shared" si="1"/>
        <v>1</v>
      </c>
      <c r="G9" s="18" t="s">
        <v>65</v>
      </c>
      <c r="H9" s="9" t="s">
        <v>32</v>
      </c>
      <c r="I9" s="10">
        <v>45912.0</v>
      </c>
      <c r="J9" s="11" t="s">
        <v>33</v>
      </c>
      <c r="K9" s="5" t="s">
        <v>34</v>
      </c>
      <c r="L9" s="10">
        <v>45915.0</v>
      </c>
      <c r="M9" s="11" t="s">
        <v>33</v>
      </c>
      <c r="N9" s="5" t="s">
        <v>35</v>
      </c>
      <c r="O9" s="10"/>
      <c r="P9" s="11" t="s">
        <v>38</v>
      </c>
      <c r="Q9" s="13" t="s">
        <v>36</v>
      </c>
      <c r="R9" s="10">
        <v>45950.0</v>
      </c>
      <c r="S9" s="11" t="s">
        <v>33</v>
      </c>
      <c r="T9" s="5" t="s">
        <v>37</v>
      </c>
      <c r="U9" s="10"/>
      <c r="V9" s="11" t="s">
        <v>38</v>
      </c>
      <c r="W9" s="5" t="s">
        <v>51</v>
      </c>
      <c r="X9" s="10">
        <v>45918.0</v>
      </c>
      <c r="Y9" s="11" t="s">
        <v>33</v>
      </c>
      <c r="Z9" s="18" t="s">
        <v>66</v>
      </c>
      <c r="AA9" s="5" t="s">
        <v>41</v>
      </c>
      <c r="AB9" s="10">
        <v>45919.0</v>
      </c>
      <c r="AC9" s="11" t="s">
        <v>33</v>
      </c>
    </row>
    <row r="10" ht="22.5" customHeight="1">
      <c r="A10" s="5">
        <v>1.0</v>
      </c>
      <c r="B10" s="5">
        <v>1.0</v>
      </c>
      <c r="C10" s="5" t="s">
        <v>67</v>
      </c>
      <c r="D10" s="16" t="s">
        <v>68</v>
      </c>
      <c r="E10" s="7" t="str">
        <f>IFERROR(__xludf.DUMMYFUNCTION("IF(AND(F10 &gt; 0.3, F10 &lt; 0.5), SPARKLINE(F10,{""charttype"",""bar"";""color1"",""Gold"";""max"",1}),
IF(F10 = 1, SPARKLINE(F10,{""charttype"",""bar"";""color1"",""Lime"";""max"",1}),
IF(F10 &gt;= 0.5, SPARKLINE(F10,{""charttype"",""bar"";""color1"",""GreenYel"&amp;"low"";""max"",1}),
SPARKLINE(F10,{""charttype"",""bar"";""color1"",""DarkOrange"";""max"",1}))))"),"")</f>
        <v/>
      </c>
      <c r="F10" s="8">
        <f t="shared" si="1"/>
        <v>1</v>
      </c>
      <c r="G10" s="15" t="s">
        <v>69</v>
      </c>
      <c r="H10" s="9" t="s">
        <v>32</v>
      </c>
      <c r="I10" s="10">
        <v>45912.0</v>
      </c>
      <c r="J10" s="11" t="s">
        <v>33</v>
      </c>
      <c r="K10" s="5" t="s">
        <v>34</v>
      </c>
      <c r="L10" s="10">
        <v>45915.0</v>
      </c>
      <c r="M10" s="11" t="s">
        <v>33</v>
      </c>
      <c r="N10" s="5" t="s">
        <v>35</v>
      </c>
      <c r="O10" s="10"/>
      <c r="P10" s="11" t="s">
        <v>38</v>
      </c>
      <c r="Q10" s="13" t="s">
        <v>36</v>
      </c>
      <c r="R10" s="10">
        <v>45950.0</v>
      </c>
      <c r="S10" s="11" t="s">
        <v>33</v>
      </c>
      <c r="T10" s="5" t="s">
        <v>37</v>
      </c>
      <c r="U10" s="10"/>
      <c r="V10" s="11" t="s">
        <v>33</v>
      </c>
      <c r="W10" s="5" t="s">
        <v>51</v>
      </c>
      <c r="X10" s="10">
        <v>45918.0</v>
      </c>
      <c r="Y10" s="11" t="s">
        <v>33</v>
      </c>
      <c r="Z10" s="15" t="s">
        <v>70</v>
      </c>
      <c r="AA10" s="5" t="s">
        <v>41</v>
      </c>
      <c r="AB10" s="10">
        <v>45919.0</v>
      </c>
      <c r="AC10" s="11" t="s">
        <v>33</v>
      </c>
    </row>
    <row r="11" ht="22.5" customHeight="1">
      <c r="A11" s="5">
        <v>1.0</v>
      </c>
      <c r="B11" s="5">
        <v>1.0</v>
      </c>
      <c r="C11" s="5" t="s">
        <v>71</v>
      </c>
      <c r="D11" s="16" t="s">
        <v>72</v>
      </c>
      <c r="E11" s="7" t="str">
        <f>IFERROR(__xludf.DUMMYFUNCTION("IF(AND(F11 &gt; 0.3, F11 &lt; 0.5), SPARKLINE(F11,{""charttype"",""bar"";""color1"",""Gold"";""max"",1}),
IF(F11 = 1, SPARKLINE(F11,{""charttype"",""bar"";""color1"",""Lime"";""max"",1}),
IF(F11 &gt;= 0.5, SPARKLINE(F11,{""charttype"",""bar"";""color1"",""GreenYel"&amp;"low"";""max"",1}),
SPARKLINE(F11,{""charttype"",""bar"";""color1"",""DarkOrange"";""max"",1}))))"),"")</f>
        <v/>
      </c>
      <c r="F11" s="8">
        <f t="shared" si="1"/>
        <v>1</v>
      </c>
      <c r="G11" s="15" t="s">
        <v>73</v>
      </c>
      <c r="H11" s="9" t="s">
        <v>32</v>
      </c>
      <c r="I11" s="10">
        <v>45912.0</v>
      </c>
      <c r="J11" s="11" t="s">
        <v>33</v>
      </c>
      <c r="K11" s="5" t="s">
        <v>34</v>
      </c>
      <c r="L11" s="10">
        <v>45915.0</v>
      </c>
      <c r="M11" s="11" t="s">
        <v>33</v>
      </c>
      <c r="N11" s="5" t="s">
        <v>35</v>
      </c>
      <c r="O11" s="10"/>
      <c r="P11" s="11" t="s">
        <v>38</v>
      </c>
      <c r="Q11" s="13" t="s">
        <v>36</v>
      </c>
      <c r="R11" s="10">
        <v>45950.0</v>
      </c>
      <c r="S11" s="11" t="s">
        <v>33</v>
      </c>
      <c r="T11" s="5" t="s">
        <v>37</v>
      </c>
      <c r="U11" s="10"/>
      <c r="V11" s="11" t="s">
        <v>38</v>
      </c>
      <c r="W11" s="5" t="s">
        <v>51</v>
      </c>
      <c r="X11" s="10">
        <v>45918.0</v>
      </c>
      <c r="Y11" s="11" t="s">
        <v>33</v>
      </c>
      <c r="Z11" s="15" t="s">
        <v>74</v>
      </c>
      <c r="AA11" s="5" t="s">
        <v>41</v>
      </c>
      <c r="AB11" s="10">
        <v>45919.0</v>
      </c>
      <c r="AC11" s="11" t="s">
        <v>33</v>
      </c>
    </row>
    <row r="12" ht="22.5" customHeight="1">
      <c r="A12" s="5">
        <v>1.0</v>
      </c>
      <c r="B12" s="19">
        <v>2.0</v>
      </c>
      <c r="C12" s="5" t="s">
        <v>75</v>
      </c>
      <c r="D12" s="6" t="s">
        <v>30</v>
      </c>
      <c r="E12" s="7" t="str">
        <f>IFERROR(__xludf.DUMMYFUNCTION("IF(AND(F12 &gt; 0.3, F12 &lt; 0.5), SPARKLINE(F12,{""charttype"",""bar"";""color1"",""Gold"";""max"",1}),
IF(F12 = 1, SPARKLINE(F12,{""charttype"",""bar"";""color1"",""Lime"";""max"",1}),
IF(F12 &gt;= 0.5, SPARKLINE(F12,{""charttype"",""bar"";""color1"",""GreenYel"&amp;"low"";""max"",1}),
SPARKLINE(F12,{""charttype"",""bar"";""color1"",""DarkOrange"";""max"",1}))))"),"")</f>
        <v/>
      </c>
      <c r="F12" s="8">
        <f t="shared" si="1"/>
        <v>1</v>
      </c>
      <c r="G12" s="17" t="s">
        <v>76</v>
      </c>
      <c r="H12" s="9" t="s">
        <v>32</v>
      </c>
      <c r="I12" s="10">
        <v>45934.0</v>
      </c>
      <c r="J12" s="11" t="s">
        <v>33</v>
      </c>
      <c r="K12" s="5" t="s">
        <v>34</v>
      </c>
      <c r="L12" s="10">
        <v>45918.0</v>
      </c>
      <c r="M12" s="11" t="s">
        <v>33</v>
      </c>
      <c r="N12" s="5" t="s">
        <v>35</v>
      </c>
      <c r="O12" s="10">
        <v>45919.0</v>
      </c>
      <c r="P12" s="11" t="s">
        <v>33</v>
      </c>
      <c r="Q12" s="13" t="s">
        <v>36</v>
      </c>
      <c r="R12" s="10">
        <v>45950.0</v>
      </c>
      <c r="S12" s="11" t="s">
        <v>33</v>
      </c>
      <c r="T12" s="5" t="s">
        <v>37</v>
      </c>
      <c r="U12" s="10"/>
      <c r="V12" s="11" t="s">
        <v>38</v>
      </c>
      <c r="W12" s="5" t="s">
        <v>39</v>
      </c>
      <c r="X12" s="10">
        <v>45924.0</v>
      </c>
      <c r="Y12" s="11" t="s">
        <v>33</v>
      </c>
      <c r="Z12" s="14" t="s">
        <v>77</v>
      </c>
      <c r="AA12" s="5" t="s">
        <v>41</v>
      </c>
      <c r="AB12" s="10">
        <v>45925.0</v>
      </c>
      <c r="AC12" s="11" t="s">
        <v>33</v>
      </c>
    </row>
    <row r="13" ht="22.5" customHeight="1">
      <c r="A13" s="5">
        <v>1.0</v>
      </c>
      <c r="B13" s="19">
        <v>2.0</v>
      </c>
      <c r="C13" s="5" t="s">
        <v>78</v>
      </c>
      <c r="D13" s="6" t="s">
        <v>30</v>
      </c>
      <c r="E13" s="7" t="str">
        <f>IFERROR(__xludf.DUMMYFUNCTION("IF(AND(F13 &gt; 0.3, F13 &lt; 0.5), SPARKLINE(F13,{""charttype"",""bar"";""color1"",""Gold"";""max"",1}),
IF(F13 = 1, SPARKLINE(F13,{""charttype"",""bar"";""color1"",""Lime"";""max"",1}),
IF(F13 &gt;= 0.5, SPARKLINE(F13,{""charttype"",""bar"";""color1"",""GreenYel"&amp;"low"";""max"",1}),
SPARKLINE(F13,{""charttype"",""bar"";""color1"",""DarkOrange"";""max"",1}))))"),"")</f>
        <v/>
      </c>
      <c r="F13" s="8">
        <f t="shared" si="1"/>
        <v>1</v>
      </c>
      <c r="G13" s="14" t="s">
        <v>79</v>
      </c>
      <c r="H13" s="9" t="s">
        <v>32</v>
      </c>
      <c r="I13" s="10">
        <v>45934.0</v>
      </c>
      <c r="J13" s="11" t="s">
        <v>33</v>
      </c>
      <c r="K13" s="5" t="s">
        <v>34</v>
      </c>
      <c r="L13" s="10">
        <v>45918.0</v>
      </c>
      <c r="M13" s="11" t="s">
        <v>33</v>
      </c>
      <c r="N13" s="5" t="s">
        <v>35</v>
      </c>
      <c r="O13" s="10">
        <v>45919.0</v>
      </c>
      <c r="P13" s="11" t="s">
        <v>33</v>
      </c>
      <c r="Q13" s="13" t="s">
        <v>36</v>
      </c>
      <c r="R13" s="10">
        <v>45950.0</v>
      </c>
      <c r="S13" s="11" t="s">
        <v>33</v>
      </c>
      <c r="T13" s="5" t="s">
        <v>37</v>
      </c>
      <c r="U13" s="10"/>
      <c r="V13" s="11" t="s">
        <v>38</v>
      </c>
      <c r="W13" s="5" t="s">
        <v>39</v>
      </c>
      <c r="X13" s="10">
        <v>45924.0</v>
      </c>
      <c r="Y13" s="11" t="s">
        <v>33</v>
      </c>
      <c r="Z13" s="14" t="s">
        <v>80</v>
      </c>
      <c r="AA13" s="5" t="s">
        <v>41</v>
      </c>
      <c r="AB13" s="10">
        <v>45925.0</v>
      </c>
      <c r="AC13" s="11" t="s">
        <v>33</v>
      </c>
    </row>
    <row r="14" ht="22.5" customHeight="1">
      <c r="A14" s="5">
        <v>1.0</v>
      </c>
      <c r="B14" s="19">
        <v>2.0</v>
      </c>
      <c r="C14" s="5" t="s">
        <v>81</v>
      </c>
      <c r="D14" s="6" t="s">
        <v>30</v>
      </c>
      <c r="E14" s="7" t="str">
        <f>IFERROR(__xludf.DUMMYFUNCTION("IF(AND(F14 &gt; 0.3, F14 &lt; 0.5), SPARKLINE(F14,{""charttype"",""bar"";""color1"",""Gold"";""max"",1}),
IF(F14 = 1, SPARKLINE(F14,{""charttype"",""bar"";""color1"",""Lime"";""max"",1}),
IF(F14 &gt;= 0.5, SPARKLINE(F14,{""charttype"",""bar"";""color1"",""GreenYel"&amp;"low"";""max"",1}),
SPARKLINE(F14,{""charttype"",""bar"";""color1"",""DarkOrange"";""max"",1}))))"),"")</f>
        <v/>
      </c>
      <c r="F14" s="8">
        <f t="shared" si="1"/>
        <v>1</v>
      </c>
      <c r="G14" s="14" t="s">
        <v>82</v>
      </c>
      <c r="H14" s="9" t="s">
        <v>32</v>
      </c>
      <c r="I14" s="10">
        <v>45936.0</v>
      </c>
      <c r="J14" s="11" t="s">
        <v>33</v>
      </c>
      <c r="K14" s="5" t="s">
        <v>34</v>
      </c>
      <c r="L14" s="10">
        <v>45918.0</v>
      </c>
      <c r="M14" s="11" t="s">
        <v>33</v>
      </c>
      <c r="N14" s="5" t="s">
        <v>35</v>
      </c>
      <c r="O14" s="10">
        <v>45919.0</v>
      </c>
      <c r="P14" s="11" t="s">
        <v>33</v>
      </c>
      <c r="Q14" s="13" t="s">
        <v>36</v>
      </c>
      <c r="R14" s="10">
        <v>45950.0</v>
      </c>
      <c r="S14" s="11" t="s">
        <v>33</v>
      </c>
      <c r="T14" s="5" t="s">
        <v>37</v>
      </c>
      <c r="U14" s="10"/>
      <c r="V14" s="11" t="s">
        <v>38</v>
      </c>
      <c r="W14" s="5" t="s">
        <v>39</v>
      </c>
      <c r="X14" s="10">
        <v>45924.0</v>
      </c>
      <c r="Y14" s="11" t="s">
        <v>33</v>
      </c>
      <c r="Z14" s="14" t="s">
        <v>83</v>
      </c>
      <c r="AA14" s="5" t="s">
        <v>41</v>
      </c>
      <c r="AB14" s="10">
        <v>45925.0</v>
      </c>
      <c r="AC14" s="11" t="s">
        <v>33</v>
      </c>
    </row>
    <row r="15" ht="22.5" customHeight="1">
      <c r="A15" s="5">
        <v>1.0</v>
      </c>
      <c r="B15" s="19">
        <v>2.0</v>
      </c>
      <c r="C15" s="5" t="s">
        <v>84</v>
      </c>
      <c r="D15" s="6" t="s">
        <v>49</v>
      </c>
      <c r="E15" s="7" t="str">
        <f>IFERROR(__xludf.DUMMYFUNCTION("IF(AND(F15 &gt; 0.3, F15 &lt; 0.5), SPARKLINE(F15,{""charttype"",""bar"";""color1"",""Gold"";""max"",1}),
IF(F15 = 1, SPARKLINE(F15,{""charttype"",""bar"";""color1"",""Lime"";""max"",1}),
IF(F15 &gt;= 0.5, SPARKLINE(F15,{""charttype"",""bar"";""color1"",""GreenYel"&amp;"low"";""max"",1}),
SPARKLINE(F15,{""charttype"",""bar"";""color1"",""DarkOrange"";""max"",1}))))"),"")</f>
        <v/>
      </c>
      <c r="F15" s="8">
        <f t="shared" si="1"/>
        <v>1</v>
      </c>
      <c r="G15" s="14" t="s">
        <v>85</v>
      </c>
      <c r="H15" s="9" t="s">
        <v>32</v>
      </c>
      <c r="I15" s="10">
        <v>45917.0</v>
      </c>
      <c r="J15" s="20" t="s">
        <v>33</v>
      </c>
      <c r="K15" s="5" t="s">
        <v>34</v>
      </c>
      <c r="L15" s="10">
        <v>45918.0</v>
      </c>
      <c r="M15" s="20" t="s">
        <v>33</v>
      </c>
      <c r="N15" s="5" t="s">
        <v>35</v>
      </c>
      <c r="O15" s="10"/>
      <c r="P15" s="20" t="s">
        <v>38</v>
      </c>
      <c r="Q15" s="13" t="s">
        <v>36</v>
      </c>
      <c r="R15" s="10">
        <v>45950.0</v>
      </c>
      <c r="S15" s="11" t="s">
        <v>33</v>
      </c>
      <c r="T15" s="5" t="s">
        <v>37</v>
      </c>
      <c r="U15" s="10"/>
      <c r="V15" s="11" t="s">
        <v>33</v>
      </c>
      <c r="W15" s="5" t="s">
        <v>51</v>
      </c>
      <c r="X15" s="10">
        <v>45923.0</v>
      </c>
      <c r="Y15" s="11" t="s">
        <v>33</v>
      </c>
      <c r="Z15" s="14" t="s">
        <v>86</v>
      </c>
      <c r="AA15" s="5" t="s">
        <v>41</v>
      </c>
      <c r="AB15" s="10">
        <v>45924.0</v>
      </c>
      <c r="AC15" s="11" t="s">
        <v>33</v>
      </c>
    </row>
    <row r="16" ht="22.5" customHeight="1">
      <c r="A16" s="5">
        <v>1.0</v>
      </c>
      <c r="B16" s="19">
        <v>2.0</v>
      </c>
      <c r="C16" s="5" t="s">
        <v>87</v>
      </c>
      <c r="D16" s="16" t="s">
        <v>49</v>
      </c>
      <c r="E16" s="7" t="str">
        <f>IFERROR(__xludf.DUMMYFUNCTION("IF(AND(F16 &gt; 0.3, F16 &lt; 0.5), SPARKLINE(F16,{""charttype"",""bar"";""color1"",""Gold"";""max"",1}),
IF(F16 = 1, SPARKLINE(F16,{""charttype"",""bar"";""color1"",""Lime"";""max"",1}),
IF(F16 &gt;= 0.5, SPARKLINE(F16,{""charttype"",""bar"";""color1"",""GreenYel"&amp;"low"";""max"",1}),
SPARKLINE(F16,{""charttype"",""bar"";""color1"",""DarkOrange"";""max"",1}))))"),"")</f>
        <v/>
      </c>
      <c r="F16" s="8">
        <f t="shared" si="1"/>
        <v>1</v>
      </c>
      <c r="G16" s="14" t="s">
        <v>88</v>
      </c>
      <c r="H16" s="9" t="s">
        <v>32</v>
      </c>
      <c r="I16" s="10">
        <v>45917.0</v>
      </c>
      <c r="J16" s="11" t="s">
        <v>33</v>
      </c>
      <c r="K16" s="5" t="s">
        <v>34</v>
      </c>
      <c r="L16" s="10">
        <v>45918.0</v>
      </c>
      <c r="M16" s="11" t="s">
        <v>33</v>
      </c>
      <c r="N16" s="5" t="s">
        <v>35</v>
      </c>
      <c r="O16" s="10"/>
      <c r="P16" s="11" t="s">
        <v>38</v>
      </c>
      <c r="Q16" s="13" t="s">
        <v>36</v>
      </c>
      <c r="R16" s="10">
        <v>45950.0</v>
      </c>
      <c r="S16" s="11" t="s">
        <v>33</v>
      </c>
      <c r="T16" s="5" t="s">
        <v>37</v>
      </c>
      <c r="U16" s="10"/>
      <c r="V16" s="11" t="s">
        <v>33</v>
      </c>
      <c r="W16" s="5" t="s">
        <v>51</v>
      </c>
      <c r="X16" s="10">
        <v>45923.0</v>
      </c>
      <c r="Y16" s="11" t="s">
        <v>33</v>
      </c>
      <c r="Z16" s="14" t="s">
        <v>89</v>
      </c>
      <c r="AA16" s="5" t="s">
        <v>41</v>
      </c>
      <c r="AB16" s="10">
        <v>45924.0</v>
      </c>
      <c r="AC16" s="11" t="s">
        <v>33</v>
      </c>
    </row>
    <row r="17" ht="22.5" customHeight="1">
      <c r="A17" s="5">
        <v>1.0</v>
      </c>
      <c r="B17" s="19">
        <v>2.0</v>
      </c>
      <c r="C17" s="5" t="s">
        <v>90</v>
      </c>
      <c r="D17" s="16" t="s">
        <v>49</v>
      </c>
      <c r="E17" s="7" t="str">
        <f>IFERROR(__xludf.DUMMYFUNCTION("IF(AND(F17 &gt; 0.3, F17 &lt; 0.5), SPARKLINE(F17,{""charttype"",""bar"";""color1"",""Gold"";""max"",1}),
IF(F17 = 1, SPARKLINE(F17,{""charttype"",""bar"";""color1"",""Lime"";""max"",1}),
IF(F17 &gt;= 0.5, SPARKLINE(F17,{""charttype"",""bar"";""color1"",""GreenYel"&amp;"low"";""max"",1}),
SPARKLINE(F17,{""charttype"",""bar"";""color1"",""DarkOrange"";""max"",1}))))"),"")</f>
        <v/>
      </c>
      <c r="F17" s="8">
        <f t="shared" si="1"/>
        <v>1</v>
      </c>
      <c r="G17" s="14" t="s">
        <v>91</v>
      </c>
      <c r="H17" s="9" t="s">
        <v>32</v>
      </c>
      <c r="I17" s="10">
        <v>45917.0</v>
      </c>
      <c r="J17" s="11" t="s">
        <v>33</v>
      </c>
      <c r="K17" s="5" t="s">
        <v>34</v>
      </c>
      <c r="L17" s="10">
        <v>45918.0</v>
      </c>
      <c r="M17" s="11" t="s">
        <v>33</v>
      </c>
      <c r="N17" s="5" t="s">
        <v>35</v>
      </c>
      <c r="O17" s="10"/>
      <c r="P17" s="11" t="s">
        <v>38</v>
      </c>
      <c r="Q17" s="13" t="s">
        <v>36</v>
      </c>
      <c r="R17" s="10">
        <v>45950.0</v>
      </c>
      <c r="S17" s="11" t="s">
        <v>33</v>
      </c>
      <c r="T17" s="5" t="s">
        <v>37</v>
      </c>
      <c r="U17" s="10"/>
      <c r="V17" s="11" t="s">
        <v>33</v>
      </c>
      <c r="W17" s="5" t="s">
        <v>51</v>
      </c>
      <c r="X17" s="10">
        <v>45923.0</v>
      </c>
      <c r="Y17" s="11" t="s">
        <v>33</v>
      </c>
      <c r="Z17" s="14" t="s">
        <v>92</v>
      </c>
      <c r="AA17" s="5" t="s">
        <v>41</v>
      </c>
      <c r="AB17" s="10">
        <v>45924.0</v>
      </c>
      <c r="AC17" s="11" t="s">
        <v>33</v>
      </c>
    </row>
    <row r="18" ht="22.5" customHeight="1">
      <c r="A18" s="5">
        <v>1.0</v>
      </c>
      <c r="B18" s="19">
        <v>2.0</v>
      </c>
      <c r="C18" s="5" t="s">
        <v>93</v>
      </c>
      <c r="D18" s="16" t="s">
        <v>60</v>
      </c>
      <c r="E18" s="7" t="str">
        <f>IFERROR(__xludf.DUMMYFUNCTION("IF(AND(F18 &gt; 0.3, F18 &lt; 0.5), SPARKLINE(F18,{""charttype"",""bar"";""color1"",""Gold"";""max"",1}),
IF(F18 = 1, SPARKLINE(F18,{""charttype"",""bar"";""color1"",""Lime"";""max"",1}),
IF(F18 &gt;= 0.5, SPARKLINE(F18,{""charttype"",""bar"";""color1"",""GreenYel"&amp;"low"";""max"",1}),
SPARKLINE(F18,{""charttype"",""bar"";""color1"",""DarkOrange"";""max"",1}))))"),"")</f>
        <v/>
      </c>
      <c r="F18" s="8">
        <f t="shared" si="1"/>
        <v>1</v>
      </c>
      <c r="G18" s="14" t="s">
        <v>94</v>
      </c>
      <c r="H18" s="9" t="s">
        <v>32</v>
      </c>
      <c r="I18" s="10">
        <v>45917.0</v>
      </c>
      <c r="J18" s="11" t="s">
        <v>33</v>
      </c>
      <c r="K18" s="5" t="s">
        <v>34</v>
      </c>
      <c r="L18" s="10">
        <v>45918.0</v>
      </c>
      <c r="M18" s="11" t="s">
        <v>33</v>
      </c>
      <c r="N18" s="5" t="s">
        <v>35</v>
      </c>
      <c r="O18" s="10"/>
      <c r="P18" s="11" t="s">
        <v>38</v>
      </c>
      <c r="Q18" s="13" t="s">
        <v>36</v>
      </c>
      <c r="R18" s="10">
        <v>45950.0</v>
      </c>
      <c r="S18" s="11" t="s">
        <v>33</v>
      </c>
      <c r="T18" s="5" t="s">
        <v>37</v>
      </c>
      <c r="U18" s="10"/>
      <c r="V18" s="11" t="s">
        <v>38</v>
      </c>
      <c r="W18" s="5" t="s">
        <v>51</v>
      </c>
      <c r="X18" s="10">
        <v>45923.0</v>
      </c>
      <c r="Y18" s="11" t="s">
        <v>33</v>
      </c>
      <c r="Z18" s="14" t="s">
        <v>95</v>
      </c>
      <c r="AA18" s="5" t="s">
        <v>41</v>
      </c>
      <c r="AB18" s="10">
        <v>45924.0</v>
      </c>
      <c r="AC18" s="11" t="s">
        <v>33</v>
      </c>
    </row>
    <row r="19" ht="22.5" customHeight="1">
      <c r="A19" s="5">
        <v>1.0</v>
      </c>
      <c r="B19" s="19">
        <v>2.0</v>
      </c>
      <c r="C19" s="5" t="s">
        <v>96</v>
      </c>
      <c r="D19" s="16" t="s">
        <v>64</v>
      </c>
      <c r="E19" s="7" t="str">
        <f>IFERROR(__xludf.DUMMYFUNCTION("IF(AND(F19 &gt; 0.3, F19 &lt; 0.5), SPARKLINE(F19,{""charttype"",""bar"";""color1"",""Gold"";""max"",1}),
IF(F19 = 1, SPARKLINE(F19,{""charttype"",""bar"";""color1"",""Lime"";""max"",1}),
IF(F19 &gt;= 0.5, SPARKLINE(F19,{""charttype"",""bar"";""color1"",""GreenYel"&amp;"low"";""max"",1}),
SPARKLINE(F19,{""charttype"",""bar"";""color1"",""DarkOrange"";""max"",1}))))"),"")</f>
        <v/>
      </c>
      <c r="F19" s="8">
        <f t="shared" si="1"/>
        <v>1</v>
      </c>
      <c r="G19" s="14" t="s">
        <v>97</v>
      </c>
      <c r="H19" s="9" t="s">
        <v>32</v>
      </c>
      <c r="I19" s="10">
        <v>45917.0</v>
      </c>
      <c r="J19" s="11" t="s">
        <v>33</v>
      </c>
      <c r="K19" s="5" t="s">
        <v>34</v>
      </c>
      <c r="L19" s="10">
        <v>45918.0</v>
      </c>
      <c r="M19" s="11" t="s">
        <v>33</v>
      </c>
      <c r="N19" s="5" t="s">
        <v>35</v>
      </c>
      <c r="O19" s="10"/>
      <c r="P19" s="11" t="s">
        <v>38</v>
      </c>
      <c r="Q19" s="13" t="s">
        <v>36</v>
      </c>
      <c r="R19" s="10">
        <v>45950.0</v>
      </c>
      <c r="S19" s="11" t="s">
        <v>33</v>
      </c>
      <c r="T19" s="5" t="s">
        <v>37</v>
      </c>
      <c r="U19" s="10"/>
      <c r="V19" s="11" t="s">
        <v>38</v>
      </c>
      <c r="W19" s="5" t="s">
        <v>51</v>
      </c>
      <c r="X19" s="10">
        <v>45923.0</v>
      </c>
      <c r="Y19" s="11" t="s">
        <v>33</v>
      </c>
      <c r="Z19" s="14" t="s">
        <v>98</v>
      </c>
      <c r="AA19" s="5" t="s">
        <v>41</v>
      </c>
      <c r="AB19" s="10">
        <v>45924.0</v>
      </c>
      <c r="AC19" s="11" t="s">
        <v>33</v>
      </c>
    </row>
    <row r="20" ht="22.5" customHeight="1">
      <c r="A20" s="5">
        <v>1.0</v>
      </c>
      <c r="B20" s="19">
        <v>2.0</v>
      </c>
      <c r="C20" s="5" t="s">
        <v>99</v>
      </c>
      <c r="D20" s="16" t="s">
        <v>68</v>
      </c>
      <c r="E20" s="7" t="str">
        <f>IFERROR(__xludf.DUMMYFUNCTION("IF(AND(F20 &gt; 0.3, F20 &lt; 0.5), SPARKLINE(F20,{""charttype"",""bar"";""color1"",""Gold"";""max"",1}),
IF(F20 = 1, SPARKLINE(F20,{""charttype"",""bar"";""color1"",""Lime"";""max"",1}),
IF(F20 &gt;= 0.5, SPARKLINE(F20,{""charttype"",""bar"";""color1"",""GreenYel"&amp;"low"";""max"",1}),
SPARKLINE(F20,{""charttype"",""bar"";""color1"",""DarkOrange"";""max"",1}))))"),"")</f>
        <v/>
      </c>
      <c r="F20" s="8">
        <f t="shared" si="1"/>
        <v>1</v>
      </c>
      <c r="G20" s="14" t="s">
        <v>100</v>
      </c>
      <c r="H20" s="9" t="s">
        <v>32</v>
      </c>
      <c r="I20" s="10">
        <v>45917.0</v>
      </c>
      <c r="J20" s="11" t="s">
        <v>33</v>
      </c>
      <c r="K20" s="5" t="s">
        <v>34</v>
      </c>
      <c r="L20" s="10">
        <v>45918.0</v>
      </c>
      <c r="M20" s="11" t="s">
        <v>33</v>
      </c>
      <c r="N20" s="5" t="s">
        <v>35</v>
      </c>
      <c r="O20" s="10"/>
      <c r="P20" s="11" t="s">
        <v>38</v>
      </c>
      <c r="Q20" s="13" t="s">
        <v>36</v>
      </c>
      <c r="R20" s="10">
        <v>45950.0</v>
      </c>
      <c r="S20" s="11" t="s">
        <v>33</v>
      </c>
      <c r="T20" s="5" t="s">
        <v>37</v>
      </c>
      <c r="U20" s="10"/>
      <c r="V20" s="11" t="s">
        <v>33</v>
      </c>
      <c r="W20" s="5" t="s">
        <v>51</v>
      </c>
      <c r="X20" s="10">
        <v>45923.0</v>
      </c>
      <c r="Y20" s="11" t="s">
        <v>33</v>
      </c>
      <c r="Z20" s="14" t="s">
        <v>101</v>
      </c>
      <c r="AA20" s="5" t="s">
        <v>41</v>
      </c>
      <c r="AB20" s="10">
        <v>45924.0</v>
      </c>
      <c r="AC20" s="11" t="s">
        <v>33</v>
      </c>
    </row>
    <row r="21" ht="22.5" customHeight="1">
      <c r="A21" s="5">
        <v>1.0</v>
      </c>
      <c r="B21" s="19">
        <v>2.0</v>
      </c>
      <c r="C21" s="5" t="s">
        <v>102</v>
      </c>
      <c r="D21" s="16" t="s">
        <v>72</v>
      </c>
      <c r="E21" s="7" t="str">
        <f>IFERROR(__xludf.DUMMYFUNCTION("IF(AND(F21 &gt; 0.3, F21 &lt; 0.5), SPARKLINE(F21,{""charttype"",""bar"";""color1"",""Gold"";""max"",1}),
IF(F21 = 1, SPARKLINE(F21,{""charttype"",""bar"";""color1"",""Lime"";""max"",1}),
IF(F21 &gt;= 0.5, SPARKLINE(F21,{""charttype"",""bar"";""color1"",""GreenYel"&amp;"low"";""max"",1}),
SPARKLINE(F21,{""charttype"",""bar"";""color1"",""DarkOrange"";""max"",1}))))"),"")</f>
        <v/>
      </c>
      <c r="F21" s="8">
        <f t="shared" si="1"/>
        <v>1</v>
      </c>
      <c r="G21" s="14" t="s">
        <v>103</v>
      </c>
      <c r="H21" s="9" t="s">
        <v>32</v>
      </c>
      <c r="I21" s="10">
        <v>45917.0</v>
      </c>
      <c r="J21" s="11" t="s">
        <v>33</v>
      </c>
      <c r="K21" s="5" t="s">
        <v>34</v>
      </c>
      <c r="L21" s="10">
        <v>45918.0</v>
      </c>
      <c r="M21" s="11" t="s">
        <v>33</v>
      </c>
      <c r="N21" s="5" t="s">
        <v>35</v>
      </c>
      <c r="O21" s="10"/>
      <c r="P21" s="11" t="s">
        <v>38</v>
      </c>
      <c r="Q21" s="13" t="s">
        <v>36</v>
      </c>
      <c r="R21" s="10">
        <v>45950.0</v>
      </c>
      <c r="S21" s="11" t="s">
        <v>33</v>
      </c>
      <c r="T21" s="5" t="s">
        <v>37</v>
      </c>
      <c r="U21" s="10"/>
      <c r="V21" s="11" t="s">
        <v>38</v>
      </c>
      <c r="W21" s="5" t="s">
        <v>51</v>
      </c>
      <c r="X21" s="10">
        <v>45923.0</v>
      </c>
      <c r="Y21" s="11" t="s">
        <v>33</v>
      </c>
      <c r="Z21" s="14" t="s">
        <v>104</v>
      </c>
      <c r="AA21" s="5" t="s">
        <v>41</v>
      </c>
      <c r="AB21" s="10">
        <v>45924.0</v>
      </c>
      <c r="AC21" s="11" t="s">
        <v>33</v>
      </c>
    </row>
    <row r="22" ht="22.5" customHeight="1">
      <c r="A22" s="5">
        <v>1.0</v>
      </c>
      <c r="B22" s="19">
        <v>3.0</v>
      </c>
      <c r="C22" s="5" t="s">
        <v>105</v>
      </c>
      <c r="D22" s="6" t="s">
        <v>30</v>
      </c>
      <c r="E22" s="7" t="str">
        <f>IFERROR(__xludf.DUMMYFUNCTION("IF(AND(F22 &gt; 0.3, F22 &lt; 0.5), SPARKLINE(F22,{""charttype"",""bar"";""color1"",""Gold"";""max"",1}),
IF(F22 = 1, SPARKLINE(F22,{""charttype"",""bar"";""color1"",""Lime"";""max"",1}),
IF(F22 &gt;= 0.5, SPARKLINE(F22,{""charttype"",""bar"";""color1"",""GreenYel"&amp;"low"";""max"",1}),
SPARKLINE(F22,{""charttype"",""bar"";""color1"",""DarkOrange"";""max"",1}))))"),"")</f>
        <v/>
      </c>
      <c r="F22" s="8">
        <f t="shared" si="1"/>
        <v>1</v>
      </c>
      <c r="G22" s="14" t="s">
        <v>106</v>
      </c>
      <c r="H22" s="9" t="s">
        <v>32</v>
      </c>
      <c r="I22" s="10">
        <v>45935.0</v>
      </c>
      <c r="J22" s="11" t="s">
        <v>33</v>
      </c>
      <c r="K22" s="5" t="s">
        <v>34</v>
      </c>
      <c r="L22" s="10">
        <v>45923.0</v>
      </c>
      <c r="M22" s="11" t="s">
        <v>33</v>
      </c>
      <c r="N22" s="5" t="s">
        <v>35</v>
      </c>
      <c r="O22" s="10">
        <v>45923.0</v>
      </c>
      <c r="P22" s="11" t="s">
        <v>33</v>
      </c>
      <c r="Q22" s="13" t="s">
        <v>36</v>
      </c>
      <c r="R22" s="10">
        <v>45950.0</v>
      </c>
      <c r="S22" s="11" t="s">
        <v>33</v>
      </c>
      <c r="T22" s="5" t="s">
        <v>37</v>
      </c>
      <c r="U22" s="10"/>
      <c r="V22" s="11" t="s">
        <v>38</v>
      </c>
      <c r="W22" s="5" t="s">
        <v>39</v>
      </c>
      <c r="X22" s="10">
        <v>45929.0</v>
      </c>
      <c r="Y22" s="11" t="s">
        <v>33</v>
      </c>
      <c r="Z22" s="14" t="s">
        <v>107</v>
      </c>
      <c r="AA22" s="5" t="s">
        <v>41</v>
      </c>
      <c r="AB22" s="10">
        <v>45930.0</v>
      </c>
      <c r="AC22" s="11" t="s">
        <v>33</v>
      </c>
    </row>
    <row r="23" ht="22.5" customHeight="1">
      <c r="A23" s="5">
        <v>1.0</v>
      </c>
      <c r="B23" s="19">
        <v>3.0</v>
      </c>
      <c r="C23" s="5" t="s">
        <v>108</v>
      </c>
      <c r="D23" s="16" t="s">
        <v>30</v>
      </c>
      <c r="E23" s="7" t="str">
        <f>IFERROR(__xludf.DUMMYFUNCTION("IF(AND(F23 &gt; 0.3, F23 &lt; 0.5), SPARKLINE(F23,{""charttype"",""bar"";""color1"",""Gold"";""max"",1}),
IF(F23 = 1, SPARKLINE(F23,{""charttype"",""bar"";""color1"",""Lime"";""max"",1}),
IF(F23 &gt;= 0.5, SPARKLINE(F23,{""charttype"",""bar"";""color1"",""GreenYel"&amp;"low"";""max"",1}),
SPARKLINE(F23,{""charttype"",""bar"";""color1"",""DarkOrange"";""max"",1}))))"),"")</f>
        <v/>
      </c>
      <c r="F23" s="8">
        <f t="shared" si="1"/>
        <v>1</v>
      </c>
      <c r="G23" s="14" t="s">
        <v>109</v>
      </c>
      <c r="H23" s="9" t="s">
        <v>32</v>
      </c>
      <c r="I23" s="10">
        <v>45935.0</v>
      </c>
      <c r="J23" s="11" t="s">
        <v>33</v>
      </c>
      <c r="K23" s="5" t="s">
        <v>34</v>
      </c>
      <c r="L23" s="10">
        <v>45923.0</v>
      </c>
      <c r="M23" s="11" t="s">
        <v>33</v>
      </c>
      <c r="N23" s="5" t="s">
        <v>35</v>
      </c>
      <c r="O23" s="10">
        <v>45923.0</v>
      </c>
      <c r="P23" s="11" t="s">
        <v>33</v>
      </c>
      <c r="Q23" s="13" t="s">
        <v>36</v>
      </c>
      <c r="R23" s="10">
        <v>45950.0</v>
      </c>
      <c r="S23" s="11" t="s">
        <v>33</v>
      </c>
      <c r="T23" s="5" t="s">
        <v>37</v>
      </c>
      <c r="U23" s="10"/>
      <c r="V23" s="11" t="s">
        <v>38</v>
      </c>
      <c r="W23" s="5" t="s">
        <v>39</v>
      </c>
      <c r="X23" s="10">
        <v>45929.0</v>
      </c>
      <c r="Y23" s="11" t="s">
        <v>33</v>
      </c>
      <c r="Z23" s="14" t="s">
        <v>110</v>
      </c>
      <c r="AA23" s="5" t="s">
        <v>41</v>
      </c>
      <c r="AB23" s="10">
        <v>45930.0</v>
      </c>
      <c r="AC23" s="11" t="s">
        <v>33</v>
      </c>
    </row>
    <row r="24" ht="22.5" customHeight="1">
      <c r="A24" s="5">
        <v>1.0</v>
      </c>
      <c r="B24" s="19">
        <v>3.0</v>
      </c>
      <c r="C24" s="5" t="s">
        <v>111</v>
      </c>
      <c r="D24" s="16" t="s">
        <v>30</v>
      </c>
      <c r="E24" s="7" t="str">
        <f>IFERROR(__xludf.DUMMYFUNCTION("IF(AND(F24 &gt; 0.3, F24 &lt; 0.5), SPARKLINE(F24,{""charttype"",""bar"";""color1"",""Gold"";""max"",1}),
IF(F24 = 1, SPARKLINE(F24,{""charttype"",""bar"";""color1"",""Lime"";""max"",1}),
IF(F24 &gt;= 0.5, SPARKLINE(F24,{""charttype"",""bar"";""color1"",""GreenYel"&amp;"low"";""max"",1}),
SPARKLINE(F24,{""charttype"",""bar"";""color1"",""DarkOrange"";""max"",1}))))"),"")</f>
        <v/>
      </c>
      <c r="F24" s="8">
        <f t="shared" si="1"/>
        <v>1</v>
      </c>
      <c r="G24" s="14" t="s">
        <v>112</v>
      </c>
      <c r="H24" s="9" t="s">
        <v>32</v>
      </c>
      <c r="I24" s="10">
        <v>45935.0</v>
      </c>
      <c r="J24" s="11" t="s">
        <v>33</v>
      </c>
      <c r="K24" s="5" t="s">
        <v>34</v>
      </c>
      <c r="L24" s="10">
        <v>45923.0</v>
      </c>
      <c r="M24" s="11" t="s">
        <v>33</v>
      </c>
      <c r="N24" s="5" t="s">
        <v>35</v>
      </c>
      <c r="O24" s="10">
        <v>45923.0</v>
      </c>
      <c r="P24" s="11" t="s">
        <v>33</v>
      </c>
      <c r="Q24" s="13" t="s">
        <v>36</v>
      </c>
      <c r="R24" s="10">
        <v>45950.0</v>
      </c>
      <c r="S24" s="11" t="s">
        <v>33</v>
      </c>
      <c r="T24" s="5" t="s">
        <v>37</v>
      </c>
      <c r="U24" s="10"/>
      <c r="V24" s="11" t="s">
        <v>38</v>
      </c>
      <c r="W24" s="5" t="s">
        <v>39</v>
      </c>
      <c r="X24" s="10">
        <v>45929.0</v>
      </c>
      <c r="Y24" s="11" t="s">
        <v>33</v>
      </c>
      <c r="Z24" s="14" t="s">
        <v>113</v>
      </c>
      <c r="AA24" s="5" t="s">
        <v>41</v>
      </c>
      <c r="AB24" s="10">
        <v>45930.0</v>
      </c>
      <c r="AC24" s="11" t="s">
        <v>33</v>
      </c>
    </row>
    <row r="25" ht="22.5" customHeight="1">
      <c r="A25" s="5">
        <v>1.0</v>
      </c>
      <c r="B25" s="19">
        <v>3.0</v>
      </c>
      <c r="C25" s="5" t="s">
        <v>114</v>
      </c>
      <c r="D25" s="16" t="s">
        <v>49</v>
      </c>
      <c r="E25" s="7" t="str">
        <f>IFERROR(__xludf.DUMMYFUNCTION("IF(AND(F25 &gt; 0.3, F25 &lt; 0.5), SPARKLINE(F25,{""charttype"",""bar"";""color1"",""Gold"";""max"",1}),
IF(F25 = 1, SPARKLINE(F25,{""charttype"",""bar"";""color1"",""Lime"";""max"",1}),
IF(F25 &gt;= 0.5, SPARKLINE(F25,{""charttype"",""bar"";""color1"",""GreenYel"&amp;"low"";""max"",1}),
SPARKLINE(F25,{""charttype"",""bar"";""color1"",""DarkOrange"";""max"",1}))))"),"")</f>
        <v/>
      </c>
      <c r="F25" s="8">
        <f t="shared" si="1"/>
        <v>1</v>
      </c>
      <c r="G25" s="14" t="s">
        <v>115</v>
      </c>
      <c r="H25" s="9" t="s">
        <v>32</v>
      </c>
      <c r="I25" s="10">
        <v>45922.0</v>
      </c>
      <c r="J25" s="11" t="s">
        <v>33</v>
      </c>
      <c r="K25" s="5" t="s">
        <v>34</v>
      </c>
      <c r="L25" s="10">
        <v>45923.0</v>
      </c>
      <c r="M25" s="11" t="s">
        <v>33</v>
      </c>
      <c r="N25" s="5" t="s">
        <v>35</v>
      </c>
      <c r="O25" s="10"/>
      <c r="P25" s="11" t="s">
        <v>38</v>
      </c>
      <c r="Q25" s="13" t="s">
        <v>36</v>
      </c>
      <c r="R25" s="10">
        <v>45950.0</v>
      </c>
      <c r="S25" s="11" t="s">
        <v>33</v>
      </c>
      <c r="T25" s="5" t="s">
        <v>37</v>
      </c>
      <c r="U25" s="10"/>
      <c r="V25" s="11" t="s">
        <v>33</v>
      </c>
      <c r="W25" s="5" t="s">
        <v>51</v>
      </c>
      <c r="X25" s="10">
        <v>45926.0</v>
      </c>
      <c r="Y25" s="11" t="s">
        <v>33</v>
      </c>
      <c r="Z25" s="14" t="s">
        <v>116</v>
      </c>
      <c r="AA25" s="5" t="s">
        <v>41</v>
      </c>
      <c r="AB25" s="10">
        <v>45929.0</v>
      </c>
      <c r="AC25" s="11" t="s">
        <v>33</v>
      </c>
    </row>
    <row r="26" ht="22.5" customHeight="1">
      <c r="A26" s="5">
        <v>1.0</v>
      </c>
      <c r="B26" s="19">
        <v>3.0</v>
      </c>
      <c r="C26" s="5" t="s">
        <v>117</v>
      </c>
      <c r="D26" s="16" t="s">
        <v>49</v>
      </c>
      <c r="E26" s="7" t="str">
        <f>IFERROR(__xludf.DUMMYFUNCTION("IF(AND(F26 &gt; 0.3, F26 &lt; 0.5), SPARKLINE(F26,{""charttype"",""bar"";""color1"",""Gold"";""max"",1}),
IF(F26 = 1, SPARKLINE(F26,{""charttype"",""bar"";""color1"",""Lime"";""max"",1}),
IF(F26 &gt;= 0.5, SPARKLINE(F26,{""charttype"",""bar"";""color1"",""GreenYel"&amp;"low"";""max"",1}),
SPARKLINE(F26,{""charttype"",""bar"";""color1"",""DarkOrange"";""max"",1}))))"),"")</f>
        <v/>
      </c>
      <c r="F26" s="8">
        <f t="shared" si="1"/>
        <v>1</v>
      </c>
      <c r="G26" s="14" t="s">
        <v>118</v>
      </c>
      <c r="H26" s="9" t="s">
        <v>32</v>
      </c>
      <c r="I26" s="10">
        <v>45922.0</v>
      </c>
      <c r="J26" s="11" t="s">
        <v>33</v>
      </c>
      <c r="K26" s="5" t="s">
        <v>34</v>
      </c>
      <c r="L26" s="10">
        <v>45923.0</v>
      </c>
      <c r="M26" s="11" t="s">
        <v>33</v>
      </c>
      <c r="N26" s="5" t="s">
        <v>35</v>
      </c>
      <c r="O26" s="10"/>
      <c r="P26" s="11" t="s">
        <v>38</v>
      </c>
      <c r="Q26" s="13" t="s">
        <v>36</v>
      </c>
      <c r="R26" s="10">
        <v>45950.0</v>
      </c>
      <c r="S26" s="11" t="s">
        <v>33</v>
      </c>
      <c r="T26" s="5" t="s">
        <v>37</v>
      </c>
      <c r="U26" s="10"/>
      <c r="V26" s="11" t="s">
        <v>33</v>
      </c>
      <c r="W26" s="5" t="s">
        <v>51</v>
      </c>
      <c r="X26" s="10">
        <v>45926.0</v>
      </c>
      <c r="Y26" s="11" t="s">
        <v>33</v>
      </c>
      <c r="Z26" s="14" t="s">
        <v>119</v>
      </c>
      <c r="AA26" s="5" t="s">
        <v>41</v>
      </c>
      <c r="AB26" s="10">
        <v>45929.0</v>
      </c>
      <c r="AC26" s="11" t="s">
        <v>33</v>
      </c>
    </row>
    <row r="27" ht="22.5" customHeight="1">
      <c r="A27" s="5">
        <v>1.0</v>
      </c>
      <c r="B27" s="19">
        <v>3.0</v>
      </c>
      <c r="C27" s="5" t="s">
        <v>120</v>
      </c>
      <c r="D27" s="16" t="s">
        <v>49</v>
      </c>
      <c r="E27" s="7" t="str">
        <f>IFERROR(__xludf.DUMMYFUNCTION("IF(AND(F27 &gt; 0.3, F27 &lt; 0.5), SPARKLINE(F27,{""charttype"",""bar"";""color1"",""Gold"";""max"",1}),
IF(F27 = 1, SPARKLINE(F27,{""charttype"",""bar"";""color1"",""Lime"";""max"",1}),
IF(F27 &gt;= 0.5, SPARKLINE(F27,{""charttype"",""bar"";""color1"",""GreenYel"&amp;"low"";""max"",1}),
SPARKLINE(F27,{""charttype"",""bar"";""color1"",""DarkOrange"";""max"",1}))))"),"")</f>
        <v/>
      </c>
      <c r="F27" s="8">
        <f t="shared" si="1"/>
        <v>1</v>
      </c>
      <c r="G27" s="14" t="s">
        <v>121</v>
      </c>
      <c r="H27" s="9" t="s">
        <v>32</v>
      </c>
      <c r="I27" s="10">
        <v>45922.0</v>
      </c>
      <c r="J27" s="11" t="s">
        <v>33</v>
      </c>
      <c r="K27" s="5" t="s">
        <v>34</v>
      </c>
      <c r="L27" s="10">
        <v>45923.0</v>
      </c>
      <c r="M27" s="11" t="s">
        <v>33</v>
      </c>
      <c r="N27" s="5" t="s">
        <v>35</v>
      </c>
      <c r="O27" s="10"/>
      <c r="P27" s="11" t="s">
        <v>38</v>
      </c>
      <c r="Q27" s="13" t="s">
        <v>36</v>
      </c>
      <c r="R27" s="10">
        <v>45950.0</v>
      </c>
      <c r="S27" s="11" t="s">
        <v>33</v>
      </c>
      <c r="T27" s="5" t="s">
        <v>37</v>
      </c>
      <c r="U27" s="10"/>
      <c r="V27" s="11" t="s">
        <v>33</v>
      </c>
      <c r="W27" s="5" t="s">
        <v>51</v>
      </c>
      <c r="X27" s="10">
        <v>45926.0</v>
      </c>
      <c r="Y27" s="11" t="s">
        <v>33</v>
      </c>
      <c r="Z27" s="14" t="s">
        <v>122</v>
      </c>
      <c r="AA27" s="5" t="s">
        <v>41</v>
      </c>
      <c r="AB27" s="10">
        <v>45929.0</v>
      </c>
      <c r="AC27" s="11" t="s">
        <v>33</v>
      </c>
    </row>
    <row r="28" ht="22.5" customHeight="1">
      <c r="A28" s="5">
        <v>1.0</v>
      </c>
      <c r="B28" s="19">
        <v>3.0</v>
      </c>
      <c r="C28" s="5" t="s">
        <v>123</v>
      </c>
      <c r="D28" s="16" t="s">
        <v>60</v>
      </c>
      <c r="E28" s="7" t="str">
        <f>IFERROR(__xludf.DUMMYFUNCTION("IF(AND(F28 &gt; 0.3, F28 &lt; 0.5), SPARKLINE(F28,{""charttype"",""bar"";""color1"",""Gold"";""max"",1}),
IF(F28 = 1, SPARKLINE(F28,{""charttype"",""bar"";""color1"",""Lime"";""max"",1}),
IF(F28 &gt;= 0.5, SPARKLINE(F28,{""charttype"",""bar"";""color1"",""GreenYel"&amp;"low"";""max"",1}),
SPARKLINE(F28,{""charttype"",""bar"";""color1"",""DarkOrange"";""max"",1}))))"),"")</f>
        <v/>
      </c>
      <c r="F28" s="8">
        <f t="shared" si="1"/>
        <v>1</v>
      </c>
      <c r="G28" s="14" t="s">
        <v>124</v>
      </c>
      <c r="H28" s="9" t="s">
        <v>32</v>
      </c>
      <c r="I28" s="10">
        <v>45922.0</v>
      </c>
      <c r="J28" s="11" t="s">
        <v>33</v>
      </c>
      <c r="K28" s="5" t="s">
        <v>34</v>
      </c>
      <c r="L28" s="10">
        <v>45923.0</v>
      </c>
      <c r="M28" s="11" t="s">
        <v>33</v>
      </c>
      <c r="N28" s="5" t="s">
        <v>35</v>
      </c>
      <c r="O28" s="10"/>
      <c r="P28" s="11" t="s">
        <v>38</v>
      </c>
      <c r="Q28" s="13" t="s">
        <v>36</v>
      </c>
      <c r="R28" s="10">
        <v>45950.0</v>
      </c>
      <c r="S28" s="11" t="s">
        <v>33</v>
      </c>
      <c r="T28" s="5" t="s">
        <v>37</v>
      </c>
      <c r="U28" s="10"/>
      <c r="V28" s="11" t="s">
        <v>38</v>
      </c>
      <c r="W28" s="5" t="s">
        <v>51</v>
      </c>
      <c r="X28" s="10">
        <v>45926.0</v>
      </c>
      <c r="Y28" s="11" t="s">
        <v>33</v>
      </c>
      <c r="Z28" s="14" t="s">
        <v>125</v>
      </c>
      <c r="AA28" s="5" t="s">
        <v>41</v>
      </c>
      <c r="AB28" s="10">
        <v>45929.0</v>
      </c>
      <c r="AC28" s="11" t="s">
        <v>33</v>
      </c>
    </row>
    <row r="29" ht="22.5" customHeight="1">
      <c r="A29" s="5">
        <v>1.0</v>
      </c>
      <c r="B29" s="19">
        <v>3.0</v>
      </c>
      <c r="C29" s="5" t="s">
        <v>126</v>
      </c>
      <c r="D29" s="16" t="s">
        <v>64</v>
      </c>
      <c r="E29" s="7" t="str">
        <f>IFERROR(__xludf.DUMMYFUNCTION("IF(AND(F29 &gt; 0.3, F29 &lt; 0.5), SPARKLINE(F29,{""charttype"",""bar"";""color1"",""Gold"";""max"",1}),
IF(F29 = 1, SPARKLINE(F29,{""charttype"",""bar"";""color1"",""Lime"";""max"",1}),
IF(F29 &gt;= 0.5, SPARKLINE(F29,{""charttype"",""bar"";""color1"",""GreenYel"&amp;"low"";""max"",1}),
SPARKLINE(F29,{""charttype"",""bar"";""color1"",""DarkOrange"";""max"",1}))))"),"")</f>
        <v/>
      </c>
      <c r="F29" s="8">
        <f t="shared" si="1"/>
        <v>1</v>
      </c>
      <c r="G29" s="14" t="s">
        <v>127</v>
      </c>
      <c r="H29" s="9" t="s">
        <v>32</v>
      </c>
      <c r="I29" s="10">
        <v>45922.0</v>
      </c>
      <c r="J29" s="11" t="s">
        <v>33</v>
      </c>
      <c r="K29" s="5" t="s">
        <v>34</v>
      </c>
      <c r="L29" s="10">
        <v>45923.0</v>
      </c>
      <c r="M29" s="11" t="s">
        <v>33</v>
      </c>
      <c r="N29" s="5" t="s">
        <v>35</v>
      </c>
      <c r="O29" s="10"/>
      <c r="P29" s="11" t="s">
        <v>38</v>
      </c>
      <c r="Q29" s="13" t="s">
        <v>36</v>
      </c>
      <c r="R29" s="10">
        <v>45950.0</v>
      </c>
      <c r="S29" s="11" t="s">
        <v>33</v>
      </c>
      <c r="T29" s="5" t="s">
        <v>37</v>
      </c>
      <c r="U29" s="10"/>
      <c r="V29" s="11" t="s">
        <v>38</v>
      </c>
      <c r="W29" s="5" t="s">
        <v>51</v>
      </c>
      <c r="X29" s="10">
        <v>45926.0</v>
      </c>
      <c r="Y29" s="11" t="s">
        <v>33</v>
      </c>
      <c r="Z29" s="14" t="s">
        <v>128</v>
      </c>
      <c r="AA29" s="5" t="s">
        <v>41</v>
      </c>
      <c r="AB29" s="10">
        <v>45929.0</v>
      </c>
      <c r="AC29" s="11" t="s">
        <v>33</v>
      </c>
    </row>
    <row r="30" ht="22.5" customHeight="1">
      <c r="A30" s="5">
        <v>1.0</v>
      </c>
      <c r="B30" s="19">
        <v>3.0</v>
      </c>
      <c r="C30" s="5" t="s">
        <v>129</v>
      </c>
      <c r="D30" s="16" t="s">
        <v>68</v>
      </c>
      <c r="E30" s="7" t="str">
        <f>IFERROR(__xludf.DUMMYFUNCTION("IF(AND(F30 &gt; 0.3, F30 &lt; 0.5), SPARKLINE(F30,{""charttype"",""bar"";""color1"",""Gold"";""max"",1}),
IF(F30 = 1, SPARKLINE(F30,{""charttype"",""bar"";""color1"",""Lime"";""max"",1}),
IF(F30 &gt;= 0.5, SPARKLINE(F30,{""charttype"",""bar"";""color1"",""GreenYel"&amp;"low"";""max"",1}),
SPARKLINE(F30,{""charttype"",""bar"";""color1"",""DarkOrange"";""max"",1}))))"),"")</f>
        <v/>
      </c>
      <c r="F30" s="8">
        <f t="shared" si="1"/>
        <v>1</v>
      </c>
      <c r="G30" s="14" t="s">
        <v>130</v>
      </c>
      <c r="H30" s="9" t="s">
        <v>32</v>
      </c>
      <c r="I30" s="10">
        <v>45922.0</v>
      </c>
      <c r="J30" s="11" t="s">
        <v>33</v>
      </c>
      <c r="K30" s="5" t="s">
        <v>34</v>
      </c>
      <c r="L30" s="10">
        <v>45923.0</v>
      </c>
      <c r="M30" s="11" t="s">
        <v>33</v>
      </c>
      <c r="N30" s="5" t="s">
        <v>35</v>
      </c>
      <c r="O30" s="10"/>
      <c r="P30" s="11" t="s">
        <v>38</v>
      </c>
      <c r="Q30" s="13" t="s">
        <v>36</v>
      </c>
      <c r="R30" s="10">
        <v>45950.0</v>
      </c>
      <c r="S30" s="11" t="s">
        <v>33</v>
      </c>
      <c r="T30" s="5" t="s">
        <v>37</v>
      </c>
      <c r="U30" s="10"/>
      <c r="V30" s="11" t="s">
        <v>33</v>
      </c>
      <c r="W30" s="5" t="s">
        <v>51</v>
      </c>
      <c r="X30" s="10">
        <v>45926.0</v>
      </c>
      <c r="Y30" s="11" t="s">
        <v>33</v>
      </c>
      <c r="Z30" s="14" t="s">
        <v>131</v>
      </c>
      <c r="AA30" s="5" t="s">
        <v>41</v>
      </c>
      <c r="AB30" s="10">
        <v>45929.0</v>
      </c>
      <c r="AC30" s="11" t="s">
        <v>33</v>
      </c>
    </row>
    <row r="31" ht="22.5" customHeight="1">
      <c r="A31" s="5">
        <v>1.0</v>
      </c>
      <c r="B31" s="19">
        <v>3.0</v>
      </c>
      <c r="C31" s="5" t="s">
        <v>132</v>
      </c>
      <c r="D31" s="16" t="s">
        <v>72</v>
      </c>
      <c r="E31" s="7" t="str">
        <f>IFERROR(__xludf.DUMMYFUNCTION("IF(AND(F31 &gt; 0.3, F31 &lt; 0.5), SPARKLINE(F31,{""charttype"",""bar"";""color1"",""Gold"";""max"",1}),
IF(F31 = 1, SPARKLINE(F31,{""charttype"",""bar"";""color1"",""Lime"";""max"",1}),
IF(F31 &gt;= 0.5, SPARKLINE(F31,{""charttype"",""bar"";""color1"",""GreenYel"&amp;"low"";""max"",1}),
SPARKLINE(F31,{""charttype"",""bar"";""color1"",""DarkOrange"";""max"",1}))))"),"")</f>
        <v/>
      </c>
      <c r="F31" s="8">
        <f t="shared" si="1"/>
        <v>1</v>
      </c>
      <c r="G31" s="14" t="s">
        <v>133</v>
      </c>
      <c r="H31" s="9" t="s">
        <v>32</v>
      </c>
      <c r="I31" s="10">
        <v>45922.0</v>
      </c>
      <c r="J31" s="11" t="s">
        <v>33</v>
      </c>
      <c r="K31" s="5" t="s">
        <v>34</v>
      </c>
      <c r="L31" s="10">
        <v>45923.0</v>
      </c>
      <c r="M31" s="11" t="s">
        <v>33</v>
      </c>
      <c r="N31" s="5" t="s">
        <v>35</v>
      </c>
      <c r="O31" s="10"/>
      <c r="P31" s="11" t="s">
        <v>38</v>
      </c>
      <c r="Q31" s="13" t="s">
        <v>36</v>
      </c>
      <c r="R31" s="10">
        <v>45950.0</v>
      </c>
      <c r="S31" s="11" t="s">
        <v>33</v>
      </c>
      <c r="T31" s="5" t="s">
        <v>37</v>
      </c>
      <c r="U31" s="10"/>
      <c r="V31" s="11" t="s">
        <v>38</v>
      </c>
      <c r="W31" s="5" t="s">
        <v>51</v>
      </c>
      <c r="X31" s="10">
        <v>45926.0</v>
      </c>
      <c r="Y31" s="11" t="s">
        <v>33</v>
      </c>
      <c r="Z31" s="14" t="s">
        <v>134</v>
      </c>
      <c r="AA31" s="5" t="s">
        <v>41</v>
      </c>
      <c r="AB31" s="10">
        <v>45929.0</v>
      </c>
      <c r="AC31" s="11" t="s">
        <v>33</v>
      </c>
    </row>
  </sheetData>
  <dataValidations>
    <dataValidation type="list" allowBlank="1" sqref="P2:P31 S2:S31 Y2:Y31">
      <formula1>"Concluído,Em Andamento,Pendente,Precisa de Alteração"</formula1>
    </dataValidation>
    <dataValidation type="list" allowBlank="1" sqref="J2:J31">
      <formula1>"Concluído,Em Andamento,Pendente,Precisa de Alteração,Não há"</formula1>
    </dataValidation>
    <dataValidation type="custom" allowBlank="1" showDropDown="1" sqref="I2:I31 L2:L31 O2:O31 R2:R31 U2:U31 X2:X31 AB2:AB31">
      <formula1>OR(NOT(ISERROR(DATEVALUE(I2))), AND(ISNUMBER(I2), LEFT(CELL("format", I2))="D"))</formula1>
    </dataValidation>
    <dataValidation type="list" allowBlank="1" sqref="V2:V31">
      <formula1>"Concluído,Em Andamento,Pendente,Precisa de Alteração,Não Há"</formula1>
    </dataValidation>
    <dataValidation type="list" allowBlank="1" sqref="AC2:AC31">
      <formula1>"Concluído,Em Andamento,Pendente,Aguardando Correção"</formula1>
    </dataValidation>
    <dataValidation type="custom" allowBlank="1" showDropDown="1" sqref="F2:F31">
      <formula1>AND(ISNUMBER(F2),(NOT(OR(NOT(ISERROR(DATEVALUE(F2))), AND(ISNUMBER(F2), LEFT(CELL("format", F2))="D")))))</formula1>
    </dataValidation>
    <dataValidation type="list" allowBlank="1" sqref="M2:M31">
      <formula1>"Concluído,Em Andamento,Pendente,Aguardando Correção,Não há"</formula1>
    </dataValidation>
  </dataValidations>
  <hyperlinks>
    <hyperlink r:id="rId1" ref="G2"/>
    <hyperlink r:id="rId2" ref="H2"/>
    <hyperlink r:id="rId3" ref="Z2"/>
    <hyperlink r:id="rId4" ref="G3"/>
    <hyperlink r:id="rId5" ref="H3"/>
    <hyperlink r:id="rId6" ref="Z3"/>
    <hyperlink r:id="rId7" ref="G4"/>
    <hyperlink r:id="rId8" ref="H4"/>
    <hyperlink r:id="rId9" ref="Z4"/>
    <hyperlink r:id="rId10" ref="G5"/>
    <hyperlink r:id="rId11" ref="H5"/>
    <hyperlink r:id="rId12" ref="Z5"/>
    <hyperlink r:id="rId13" ref="G6"/>
    <hyperlink r:id="rId14" ref="H6"/>
    <hyperlink r:id="rId15" ref="Z6"/>
    <hyperlink r:id="rId16" ref="G7"/>
    <hyperlink r:id="rId17" ref="H7"/>
    <hyperlink r:id="rId18" ref="Z7"/>
    <hyperlink r:id="rId19" ref="G8"/>
    <hyperlink r:id="rId20" ref="H8"/>
    <hyperlink r:id="rId21" ref="Z8"/>
    <hyperlink r:id="rId22" ref="G9"/>
    <hyperlink r:id="rId23" ref="H9"/>
    <hyperlink r:id="rId24" ref="Z9"/>
    <hyperlink r:id="rId25" ref="G10"/>
    <hyperlink r:id="rId26" ref="H10"/>
    <hyperlink r:id="rId27" ref="Z10"/>
    <hyperlink r:id="rId28" ref="G11"/>
    <hyperlink r:id="rId29" ref="H11"/>
    <hyperlink r:id="rId30" ref="Z11"/>
    <hyperlink r:id="rId31" ref="G12"/>
    <hyperlink r:id="rId32" ref="H12"/>
    <hyperlink r:id="rId33" ref="Z12"/>
    <hyperlink r:id="rId34" ref="G13"/>
    <hyperlink r:id="rId35" ref="H13"/>
    <hyperlink r:id="rId36" ref="Z13"/>
    <hyperlink r:id="rId37" ref="G14"/>
    <hyperlink r:id="rId38" ref="H14"/>
    <hyperlink r:id="rId39" ref="Z14"/>
    <hyperlink r:id="rId40" ref="G15"/>
    <hyperlink r:id="rId41" ref="H15"/>
    <hyperlink r:id="rId42" ref="Z15"/>
    <hyperlink r:id="rId43" ref="G16"/>
    <hyperlink r:id="rId44" ref="H16"/>
    <hyperlink r:id="rId45" ref="Z16"/>
    <hyperlink r:id="rId46" ref="G17"/>
    <hyperlink r:id="rId47" ref="H17"/>
    <hyperlink r:id="rId48" ref="Z17"/>
    <hyperlink r:id="rId49" ref="G18"/>
    <hyperlink r:id="rId50" ref="H18"/>
    <hyperlink r:id="rId51" ref="Z18"/>
    <hyperlink r:id="rId52" ref="G19"/>
    <hyperlink r:id="rId53" ref="H19"/>
    <hyperlink r:id="rId54" ref="Z19"/>
    <hyperlink r:id="rId55" ref="G20"/>
    <hyperlink r:id="rId56" ref="H20"/>
    <hyperlink r:id="rId57" ref="Z20"/>
    <hyperlink r:id="rId58" ref="G21"/>
    <hyperlink r:id="rId59" ref="H21"/>
    <hyperlink r:id="rId60" ref="Z21"/>
    <hyperlink r:id="rId61" ref="G22"/>
    <hyperlink r:id="rId62" ref="H22"/>
    <hyperlink r:id="rId63" ref="Z22"/>
    <hyperlink r:id="rId64" ref="G23"/>
    <hyperlink r:id="rId65" ref="H23"/>
    <hyperlink r:id="rId66" ref="Z23"/>
    <hyperlink r:id="rId67" ref="G24"/>
    <hyperlink r:id="rId68" ref="H24"/>
    <hyperlink r:id="rId69" ref="Z24"/>
    <hyperlink r:id="rId70" ref="G25"/>
    <hyperlink r:id="rId71" ref="H25"/>
    <hyperlink r:id="rId72" ref="Z25"/>
    <hyperlink r:id="rId73" ref="G26"/>
    <hyperlink r:id="rId74" ref="H26"/>
    <hyperlink r:id="rId75" ref="Z26"/>
    <hyperlink r:id="rId76" ref="G27"/>
    <hyperlink r:id="rId77" ref="H27"/>
    <hyperlink r:id="rId78" ref="Z27"/>
    <hyperlink r:id="rId79" ref="G28"/>
    <hyperlink r:id="rId80" ref="H28"/>
    <hyperlink r:id="rId81" ref="Z28"/>
    <hyperlink r:id="rId82" ref="G29"/>
    <hyperlink r:id="rId83" ref="H29"/>
    <hyperlink r:id="rId84" ref="Z29"/>
    <hyperlink r:id="rId85" ref="G30"/>
    <hyperlink r:id="rId86" ref="H30"/>
    <hyperlink r:id="rId87" ref="Z30"/>
    <hyperlink r:id="rId88" ref="G31"/>
    <hyperlink r:id="rId89" ref="H31"/>
    <hyperlink r:id="rId90" ref="Z31"/>
  </hyperlinks>
  <drawing r:id="rId91"/>
  <tableParts count="1">
    <tablePart r:id="rId9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23.0"/>
    <col customWidth="1" min="2" max="2" width="10.63"/>
    <col customWidth="1" min="3" max="3" width="19.13"/>
    <col customWidth="1" min="4" max="4" width="20.38"/>
    <col customWidth="1" min="5" max="5" width="24.38"/>
    <col customWidth="1" min="6" max="6" width="7.75"/>
    <col customWidth="1" min="7" max="7" width="27.25"/>
    <col customWidth="1" min="8" max="8" width="16.25"/>
    <col customWidth="1" min="9" max="9" width="20.13"/>
    <col customWidth="1" min="10" max="10" width="21.75"/>
    <col customWidth="1" min="11" max="11" width="20.13"/>
    <col customWidth="1" min="12" max="12" width="21.75"/>
    <col customWidth="1" min="13" max="13" width="16.25"/>
    <col customWidth="1" min="14" max="14" width="20.13"/>
    <col customWidth="1" min="15" max="15" width="21.75"/>
    <col customWidth="1" min="16" max="16" width="16.63"/>
    <col customWidth="1" min="17" max="17" width="20.13"/>
    <col customWidth="1" min="18" max="18" width="21.75"/>
    <col customWidth="1" min="19" max="19" width="18.75"/>
    <col customWidth="1" min="20" max="20" width="20.13"/>
    <col customWidth="1" min="21" max="21" width="21.75"/>
    <col customWidth="1" min="22" max="22" width="16.25"/>
    <col customWidth="1" min="23" max="23" width="20.13"/>
    <col customWidth="1" min="24" max="24" width="21.75"/>
    <col customWidth="1" min="25" max="25" width="16.25"/>
    <col customWidth="1" min="26" max="26" width="20.13"/>
    <col customWidth="1" min="27" max="27" width="21.75"/>
    <col customWidth="1" min="28" max="28" width="30.13"/>
    <col customWidth="1" min="29" max="29" width="16.25"/>
    <col customWidth="1" min="30" max="30" width="20.13"/>
    <col customWidth="1" min="31" max="31" width="21.75"/>
  </cols>
  <sheetData>
    <row r="1" ht="22.5" customHeight="1">
      <c r="A1" s="1" t="s">
        <v>135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136</v>
      </c>
      <c r="L1" s="1" t="s">
        <v>137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138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4" t="s">
        <v>25</v>
      </c>
      <c r="AC1" s="1" t="s">
        <v>26</v>
      </c>
      <c r="AD1" s="1" t="s">
        <v>27</v>
      </c>
      <c r="AE1" s="1" t="s">
        <v>28</v>
      </c>
    </row>
    <row r="2" ht="22.5" customHeight="1">
      <c r="A2" s="5">
        <v>2.0</v>
      </c>
      <c r="B2" s="21">
        <v>1.0</v>
      </c>
      <c r="C2" s="5" t="s">
        <v>139</v>
      </c>
      <c r="D2" s="16" t="s">
        <v>30</v>
      </c>
      <c r="E2" s="7" t="str">
        <f>IFERROR(__xludf.DUMMYFUNCTION("IF(AND(F2 &gt; 0.3, F2 &lt; 0.5), SPARKLINE(F2,{""charttype"",""bar"";""color1"",""Gold"";""max"",1}),
IF(F2 = 1, SPARKLINE(F2,{""charttype"",""bar"";""color1"",""Lime"";""max"",1}),
IF(F2 &gt;= 0.5, SPARKLINE(F2,{""charttype"",""bar"";""color1"",""GreenYellow"";"&amp;"""max"",1}),
SPARKLINE(F2,{""charttype"",""bar"";""color1"",""DarkOrange"";""max"",1}))))"),"")</f>
        <v/>
      </c>
      <c r="F2" s="8">
        <f t="shared" ref="F2:F22" si="1">IF(OR(D2="ROTEIRO DE VÍDEO", D2="VÍDEO"), (IF(J2="Concluído", 1, 0) + IF(O2="Concluído", 1, 0) + IF(R2="Concluído", 1, 0) + IF(U2="Concluído", 1, 0) + IF(AA2="Concluído", 1, 0) + IF(AE2="Concluído", 1, 0)) / 6,
IF(OR(D2="SLIDE", D2="FÓRUM", D2="PLANO DE AULA", D2="QUIZ", D2="TAREFA", D2="EBOOK", D2="PDF(AVULSO)"), (IF(J2="Concluído", 1, 0) + IF(O2="Concluído", 1, 0) + IF(U2="Concluído", 1, 0)  + IF(AA2="Concluído", 1, 0) + IF(AE2="Concluído", 1, 0)) / 5,0))</f>
        <v>1</v>
      </c>
      <c r="G2" s="18" t="s">
        <v>140</v>
      </c>
      <c r="H2" s="5" t="s">
        <v>141</v>
      </c>
      <c r="I2" s="10">
        <v>45908.0</v>
      </c>
      <c r="J2" s="11" t="s">
        <v>33</v>
      </c>
      <c r="K2" s="10">
        <v>45908.0</v>
      </c>
      <c r="L2" s="22" t="s">
        <v>142</v>
      </c>
      <c r="M2" s="5" t="s">
        <v>34</v>
      </c>
      <c r="N2" s="10">
        <v>45909.0</v>
      </c>
      <c r="O2" s="11" t="s">
        <v>33</v>
      </c>
      <c r="P2" s="5" t="s">
        <v>141</v>
      </c>
      <c r="Q2" s="10">
        <v>45911.0</v>
      </c>
      <c r="R2" s="11" t="s">
        <v>33</v>
      </c>
      <c r="S2" s="5" t="s">
        <v>36</v>
      </c>
      <c r="T2" s="10">
        <v>45950.0</v>
      </c>
      <c r="U2" s="11" t="s">
        <v>33</v>
      </c>
      <c r="V2" s="5" t="s">
        <v>143</v>
      </c>
      <c r="W2" s="10"/>
      <c r="X2" s="11" t="s">
        <v>38</v>
      </c>
      <c r="Y2" s="5" t="s">
        <v>144</v>
      </c>
      <c r="Z2" s="23">
        <v>45916.0</v>
      </c>
      <c r="AA2" s="24" t="s">
        <v>33</v>
      </c>
      <c r="AB2" s="25" t="s">
        <v>145</v>
      </c>
      <c r="AC2" s="26" t="s">
        <v>41</v>
      </c>
      <c r="AD2" s="23">
        <v>45917.0</v>
      </c>
      <c r="AE2" s="11" t="s">
        <v>33</v>
      </c>
    </row>
    <row r="3" ht="22.5" customHeight="1">
      <c r="A3" s="5">
        <v>2.0</v>
      </c>
      <c r="B3" s="21">
        <v>1.0</v>
      </c>
      <c r="C3" s="5" t="s">
        <v>146</v>
      </c>
      <c r="D3" s="16" t="s">
        <v>30</v>
      </c>
      <c r="E3" s="7" t="str">
        <f>IFERROR(__xludf.DUMMYFUNCTION("IF(AND(F3 &gt; 0.3, F3 &lt; 0.5), SPARKLINE(F3,{""charttype"",""bar"";""color1"",""Gold"";""max"",1}),
IF(F3 = 1, SPARKLINE(F3,{""charttype"",""bar"";""color1"",""Lime"";""max"",1}),
IF(F3 &gt;= 0.5, SPARKLINE(F3,{""charttype"",""bar"";""color1"",""GreenYellow"";"&amp;"""max"",1}),
SPARKLINE(F3,{""charttype"",""bar"";""color1"",""DarkOrange"";""max"",1}))))"),"")</f>
        <v/>
      </c>
      <c r="F3" s="8">
        <f t="shared" si="1"/>
        <v>1</v>
      </c>
      <c r="G3" s="15" t="s">
        <v>147</v>
      </c>
      <c r="H3" s="5" t="s">
        <v>141</v>
      </c>
      <c r="I3" s="10">
        <v>45908.0</v>
      </c>
      <c r="J3" s="11" t="s">
        <v>33</v>
      </c>
      <c r="K3" s="10">
        <v>45908.0</v>
      </c>
      <c r="L3" s="27" t="s">
        <v>142</v>
      </c>
      <c r="M3" s="5" t="s">
        <v>34</v>
      </c>
      <c r="N3" s="10">
        <v>45909.0</v>
      </c>
      <c r="O3" s="11" t="s">
        <v>33</v>
      </c>
      <c r="P3" s="5" t="s">
        <v>141</v>
      </c>
      <c r="Q3" s="10">
        <v>45911.0</v>
      </c>
      <c r="R3" s="11" t="s">
        <v>33</v>
      </c>
      <c r="S3" s="5" t="s">
        <v>36</v>
      </c>
      <c r="T3" s="10">
        <v>45950.0</v>
      </c>
      <c r="U3" s="11" t="s">
        <v>33</v>
      </c>
      <c r="V3" s="5" t="s">
        <v>143</v>
      </c>
      <c r="W3" s="10"/>
      <c r="X3" s="11" t="s">
        <v>38</v>
      </c>
      <c r="Y3" s="5" t="s">
        <v>144</v>
      </c>
      <c r="Z3" s="23">
        <v>45916.0</v>
      </c>
      <c r="AA3" s="24" t="s">
        <v>33</v>
      </c>
      <c r="AB3" s="25" t="s">
        <v>148</v>
      </c>
      <c r="AC3" s="26" t="s">
        <v>41</v>
      </c>
      <c r="AD3" s="23">
        <v>45917.0</v>
      </c>
      <c r="AE3" s="11" t="s">
        <v>33</v>
      </c>
    </row>
    <row r="4" ht="22.5" customHeight="1">
      <c r="A4" s="5">
        <v>2.0</v>
      </c>
      <c r="B4" s="21">
        <v>1.0</v>
      </c>
      <c r="C4" s="5" t="s">
        <v>149</v>
      </c>
      <c r="D4" s="16" t="s">
        <v>30</v>
      </c>
      <c r="E4" s="7" t="str">
        <f>IFERROR(__xludf.DUMMYFUNCTION("IF(AND(F4 &gt; 0.3, F4 &lt; 0.5), SPARKLINE(F4,{""charttype"",""bar"";""color1"",""Gold"";""max"",1}),
IF(F4 = 1, SPARKLINE(F4,{""charttype"",""bar"";""color1"",""Lime"";""max"",1}),
IF(F4 &gt;= 0.5, SPARKLINE(F4,{""charttype"",""bar"";""color1"",""GreenYellow"";"&amp;"""max"",1}),
SPARKLINE(F4,{""charttype"",""bar"";""color1"",""DarkOrange"";""max"",1}))))"),"")</f>
        <v/>
      </c>
      <c r="F4" s="8">
        <f t="shared" si="1"/>
        <v>1</v>
      </c>
      <c r="G4" s="14" t="s">
        <v>150</v>
      </c>
      <c r="H4" s="5" t="s">
        <v>141</v>
      </c>
      <c r="I4" s="10">
        <v>45908.0</v>
      </c>
      <c r="J4" s="11" t="s">
        <v>33</v>
      </c>
      <c r="K4" s="10">
        <v>45908.0</v>
      </c>
      <c r="L4" s="27" t="s">
        <v>142</v>
      </c>
      <c r="M4" s="5" t="s">
        <v>34</v>
      </c>
      <c r="N4" s="10">
        <v>45909.0</v>
      </c>
      <c r="O4" s="11" t="s">
        <v>33</v>
      </c>
      <c r="P4" s="5" t="s">
        <v>141</v>
      </c>
      <c r="Q4" s="10">
        <v>45911.0</v>
      </c>
      <c r="R4" s="11" t="s">
        <v>33</v>
      </c>
      <c r="S4" s="5" t="s">
        <v>36</v>
      </c>
      <c r="T4" s="10">
        <v>45950.0</v>
      </c>
      <c r="U4" s="11" t="s">
        <v>33</v>
      </c>
      <c r="V4" s="5" t="s">
        <v>143</v>
      </c>
      <c r="W4" s="10"/>
      <c r="X4" s="11" t="s">
        <v>38</v>
      </c>
      <c r="Y4" s="5" t="s">
        <v>144</v>
      </c>
      <c r="Z4" s="23">
        <v>45916.0</v>
      </c>
      <c r="AA4" s="24" t="s">
        <v>33</v>
      </c>
      <c r="AB4" s="25" t="s">
        <v>151</v>
      </c>
      <c r="AC4" s="26" t="s">
        <v>41</v>
      </c>
      <c r="AD4" s="23">
        <v>45917.0</v>
      </c>
      <c r="AE4" s="11" t="s">
        <v>33</v>
      </c>
    </row>
    <row r="5" ht="22.5" customHeight="1">
      <c r="A5" s="5">
        <v>2.0</v>
      </c>
      <c r="B5" s="21">
        <v>1.0</v>
      </c>
      <c r="C5" s="5" t="s">
        <v>152</v>
      </c>
      <c r="D5" s="16" t="s">
        <v>49</v>
      </c>
      <c r="E5" s="7" t="str">
        <f>IFERROR(__xludf.DUMMYFUNCTION("IF(AND(F5 &gt; 0.3, F5 &lt; 0.5), SPARKLINE(F5,{""charttype"",""bar"";""color1"",""Gold"";""max"",1}),
IF(F5 = 1, SPARKLINE(F5,{""charttype"",""bar"";""color1"",""Lime"";""max"",1}),
IF(F5 &gt;= 0.5, SPARKLINE(F5,{""charttype"",""bar"";""color1"",""GreenYellow"";"&amp;"""max"",1}),
SPARKLINE(F5,{""charttype"",""bar"";""color1"",""DarkOrange"";""max"",1}))))"),"")</f>
        <v/>
      </c>
      <c r="F5" s="8">
        <f t="shared" si="1"/>
        <v>1</v>
      </c>
      <c r="G5" s="14" t="s">
        <v>153</v>
      </c>
      <c r="H5" s="5" t="s">
        <v>141</v>
      </c>
      <c r="I5" s="10">
        <v>45908.0</v>
      </c>
      <c r="J5" s="11" t="s">
        <v>33</v>
      </c>
      <c r="K5" s="10">
        <v>45908.0</v>
      </c>
      <c r="L5" s="27" t="s">
        <v>142</v>
      </c>
      <c r="M5" s="5" t="s">
        <v>34</v>
      </c>
      <c r="N5" s="10">
        <v>45909.0</v>
      </c>
      <c r="O5" s="11" t="s">
        <v>33</v>
      </c>
      <c r="P5" s="5"/>
      <c r="Q5" s="10"/>
      <c r="R5" s="11" t="s">
        <v>154</v>
      </c>
      <c r="S5" s="5" t="s">
        <v>36</v>
      </c>
      <c r="T5" s="10">
        <v>45950.0</v>
      </c>
      <c r="U5" s="11" t="s">
        <v>33</v>
      </c>
      <c r="V5" s="5" t="s">
        <v>143</v>
      </c>
      <c r="W5" s="10"/>
      <c r="X5" s="11" t="s">
        <v>38</v>
      </c>
      <c r="Y5" s="5" t="s">
        <v>51</v>
      </c>
      <c r="Z5" s="23">
        <v>45916.0</v>
      </c>
      <c r="AA5" s="24" t="s">
        <v>33</v>
      </c>
      <c r="AB5" s="28" t="s">
        <v>155</v>
      </c>
      <c r="AC5" s="26" t="s">
        <v>41</v>
      </c>
      <c r="AD5" s="23">
        <v>45917.0</v>
      </c>
      <c r="AE5" s="11" t="s">
        <v>33</v>
      </c>
    </row>
    <row r="6" ht="22.5" customHeight="1">
      <c r="A6" s="5">
        <v>2.0</v>
      </c>
      <c r="B6" s="21">
        <v>1.0</v>
      </c>
      <c r="C6" s="5" t="s">
        <v>156</v>
      </c>
      <c r="D6" s="16" t="s">
        <v>49</v>
      </c>
      <c r="E6" s="7" t="str">
        <f>IFERROR(__xludf.DUMMYFUNCTION("IF(AND(F6 &gt; 0.3, F6 &lt; 0.5), SPARKLINE(F6,{""charttype"",""bar"";""color1"",""Gold"";""max"",1}),
IF(F6 = 1, SPARKLINE(F6,{""charttype"",""bar"";""color1"",""Lime"";""max"",1}),
IF(F6 &gt;= 0.5, SPARKLINE(F6,{""charttype"",""bar"";""color1"",""GreenYellow"";"&amp;"""max"",1}),
SPARKLINE(F6,{""charttype"",""bar"";""color1"",""DarkOrange"";""max"",1}))))"),"")</f>
        <v/>
      </c>
      <c r="F6" s="8">
        <f t="shared" si="1"/>
        <v>1</v>
      </c>
      <c r="G6" s="14" t="s">
        <v>157</v>
      </c>
      <c r="H6" s="5" t="s">
        <v>141</v>
      </c>
      <c r="I6" s="10">
        <v>45908.0</v>
      </c>
      <c r="J6" s="11" t="s">
        <v>33</v>
      </c>
      <c r="K6" s="10">
        <v>45908.0</v>
      </c>
      <c r="L6" s="27" t="s">
        <v>142</v>
      </c>
      <c r="M6" s="5" t="s">
        <v>34</v>
      </c>
      <c r="N6" s="10">
        <v>45909.0</v>
      </c>
      <c r="O6" s="11" t="s">
        <v>33</v>
      </c>
      <c r="P6" s="5"/>
      <c r="Q6" s="10"/>
      <c r="R6" s="11" t="s">
        <v>154</v>
      </c>
      <c r="S6" s="5" t="s">
        <v>36</v>
      </c>
      <c r="T6" s="10">
        <v>45950.0</v>
      </c>
      <c r="U6" s="11" t="s">
        <v>33</v>
      </c>
      <c r="V6" s="5" t="s">
        <v>143</v>
      </c>
      <c r="W6" s="10"/>
      <c r="X6" s="11" t="s">
        <v>38</v>
      </c>
      <c r="Y6" s="5" t="s">
        <v>51</v>
      </c>
      <c r="Z6" s="23">
        <v>45916.0</v>
      </c>
      <c r="AA6" s="24" t="s">
        <v>33</v>
      </c>
      <c r="AB6" s="28" t="s">
        <v>158</v>
      </c>
      <c r="AC6" s="26" t="s">
        <v>41</v>
      </c>
      <c r="AD6" s="23">
        <v>45917.0</v>
      </c>
      <c r="AE6" s="11" t="s">
        <v>33</v>
      </c>
    </row>
    <row r="7" ht="22.5" customHeight="1">
      <c r="A7" s="5">
        <v>2.0</v>
      </c>
      <c r="B7" s="21">
        <v>1.0</v>
      </c>
      <c r="C7" s="5" t="s">
        <v>159</v>
      </c>
      <c r="D7" s="16" t="s">
        <v>49</v>
      </c>
      <c r="E7" s="7" t="str">
        <f>IFERROR(__xludf.DUMMYFUNCTION("IF(AND(F7 &gt; 0.3, F7 &lt; 0.5), SPARKLINE(F7,{""charttype"",""bar"";""color1"",""Gold"";""max"",1}),
IF(F7 = 1, SPARKLINE(F7,{""charttype"",""bar"";""color1"",""Lime"";""max"",1}),
IF(F7 &gt;= 0.5, SPARKLINE(F7,{""charttype"",""bar"";""color1"",""GreenYellow"";"&amp;"""max"",1}),
SPARKLINE(F7,{""charttype"",""bar"";""color1"",""DarkOrange"";""max"",1}))))"),"")</f>
        <v/>
      </c>
      <c r="F7" s="8">
        <f t="shared" si="1"/>
        <v>1</v>
      </c>
      <c r="G7" s="14" t="s">
        <v>160</v>
      </c>
      <c r="H7" s="5" t="s">
        <v>141</v>
      </c>
      <c r="I7" s="10">
        <v>45908.0</v>
      </c>
      <c r="J7" s="11" t="s">
        <v>33</v>
      </c>
      <c r="K7" s="10">
        <v>45908.0</v>
      </c>
      <c r="L7" s="27" t="s">
        <v>142</v>
      </c>
      <c r="M7" s="5" t="s">
        <v>34</v>
      </c>
      <c r="N7" s="10">
        <v>45909.0</v>
      </c>
      <c r="O7" s="11" t="s">
        <v>33</v>
      </c>
      <c r="P7" s="5"/>
      <c r="Q7" s="10"/>
      <c r="R7" s="11" t="s">
        <v>154</v>
      </c>
      <c r="S7" s="5" t="s">
        <v>36</v>
      </c>
      <c r="T7" s="10">
        <v>45950.0</v>
      </c>
      <c r="U7" s="11" t="s">
        <v>33</v>
      </c>
      <c r="V7" s="5" t="s">
        <v>143</v>
      </c>
      <c r="W7" s="10"/>
      <c r="X7" s="11" t="s">
        <v>38</v>
      </c>
      <c r="Y7" s="5" t="s">
        <v>51</v>
      </c>
      <c r="Z7" s="23">
        <v>45916.0</v>
      </c>
      <c r="AA7" s="24" t="s">
        <v>33</v>
      </c>
      <c r="AB7" s="28" t="s">
        <v>161</v>
      </c>
      <c r="AC7" s="26" t="s">
        <v>41</v>
      </c>
      <c r="AD7" s="23">
        <v>45917.0</v>
      </c>
      <c r="AE7" s="11" t="s">
        <v>33</v>
      </c>
    </row>
    <row r="8" ht="22.5" customHeight="1">
      <c r="A8" s="5">
        <v>2.0</v>
      </c>
      <c r="B8" s="21">
        <v>1.0</v>
      </c>
      <c r="C8" s="5" t="s">
        <v>162</v>
      </c>
      <c r="D8" s="16" t="s">
        <v>60</v>
      </c>
      <c r="E8" s="7" t="str">
        <f>IFERROR(__xludf.DUMMYFUNCTION("IF(AND(F8 &gt; 0.3, F8 &lt; 0.5), SPARKLINE(F8,{""charttype"",""bar"";""color1"",""Gold"";""max"",1}),
IF(F8 = 1, SPARKLINE(F8,{""charttype"",""bar"";""color1"",""Lime"";""max"",1}),
IF(F8 &gt;= 0.5, SPARKLINE(F8,{""charttype"",""bar"";""color1"",""GreenYellow"";"&amp;"""max"",1}),
SPARKLINE(F8,{""charttype"",""bar"";""color1"",""DarkOrange"";""max"",1}))))"),"")</f>
        <v/>
      </c>
      <c r="F8" s="8">
        <f t="shared" si="1"/>
        <v>1</v>
      </c>
      <c r="G8" s="14" t="s">
        <v>163</v>
      </c>
      <c r="H8" s="5" t="s">
        <v>141</v>
      </c>
      <c r="I8" s="10">
        <v>45908.0</v>
      </c>
      <c r="J8" s="11" t="s">
        <v>33</v>
      </c>
      <c r="K8" s="10">
        <v>45908.0</v>
      </c>
      <c r="L8" s="27" t="s">
        <v>142</v>
      </c>
      <c r="M8" s="5" t="s">
        <v>34</v>
      </c>
      <c r="N8" s="10">
        <v>45909.0</v>
      </c>
      <c r="O8" s="11" t="s">
        <v>33</v>
      </c>
      <c r="P8" s="5"/>
      <c r="Q8" s="10"/>
      <c r="R8" s="11" t="s">
        <v>154</v>
      </c>
      <c r="S8" s="5" t="s">
        <v>36</v>
      </c>
      <c r="T8" s="10">
        <v>45950.0</v>
      </c>
      <c r="U8" s="11" t="s">
        <v>33</v>
      </c>
      <c r="V8" s="5" t="s">
        <v>143</v>
      </c>
      <c r="W8" s="10"/>
      <c r="X8" s="11" t="s">
        <v>38</v>
      </c>
      <c r="Y8" s="5" t="s">
        <v>51</v>
      </c>
      <c r="Z8" s="23">
        <v>45916.0</v>
      </c>
      <c r="AA8" s="24" t="s">
        <v>33</v>
      </c>
      <c r="AB8" s="28" t="s">
        <v>164</v>
      </c>
      <c r="AC8" s="26" t="s">
        <v>41</v>
      </c>
      <c r="AD8" s="23">
        <v>45917.0</v>
      </c>
      <c r="AE8" s="11" t="s">
        <v>33</v>
      </c>
    </row>
    <row r="9" ht="22.5" customHeight="1">
      <c r="A9" s="5">
        <v>2.0</v>
      </c>
      <c r="B9" s="21">
        <v>1.0</v>
      </c>
      <c r="C9" s="5" t="s">
        <v>165</v>
      </c>
      <c r="D9" s="16" t="s">
        <v>64</v>
      </c>
      <c r="E9" s="7" t="str">
        <f>IFERROR(__xludf.DUMMYFUNCTION("IF(AND(F9 &gt; 0.3, F9 &lt; 0.5), SPARKLINE(F9,{""charttype"",""bar"";""color1"",""Gold"";""max"",1}),
IF(F9 = 1, SPARKLINE(F9,{""charttype"",""bar"";""color1"",""Lime"";""max"",1}),
IF(F9 &gt;= 0.5, SPARKLINE(F9,{""charttype"",""bar"";""color1"",""GreenYellow"";"&amp;"""max"",1}),
SPARKLINE(F9,{""charttype"",""bar"";""color1"",""DarkOrange"";""max"",1}))))"),"")</f>
        <v/>
      </c>
      <c r="F9" s="8">
        <f t="shared" si="1"/>
        <v>1</v>
      </c>
      <c r="G9" s="14" t="s">
        <v>166</v>
      </c>
      <c r="H9" s="5" t="s">
        <v>141</v>
      </c>
      <c r="I9" s="10">
        <v>45908.0</v>
      </c>
      <c r="J9" s="11" t="s">
        <v>33</v>
      </c>
      <c r="K9" s="10">
        <v>45908.0</v>
      </c>
      <c r="L9" s="27" t="s">
        <v>142</v>
      </c>
      <c r="M9" s="5" t="s">
        <v>34</v>
      </c>
      <c r="N9" s="10">
        <v>45909.0</v>
      </c>
      <c r="O9" s="11" t="s">
        <v>33</v>
      </c>
      <c r="P9" s="5"/>
      <c r="Q9" s="10"/>
      <c r="R9" s="11" t="s">
        <v>154</v>
      </c>
      <c r="S9" s="5" t="s">
        <v>36</v>
      </c>
      <c r="T9" s="10">
        <v>45950.0</v>
      </c>
      <c r="U9" s="11" t="s">
        <v>33</v>
      </c>
      <c r="V9" s="5" t="s">
        <v>143</v>
      </c>
      <c r="W9" s="10"/>
      <c r="X9" s="11" t="s">
        <v>38</v>
      </c>
      <c r="Y9" s="5" t="s">
        <v>51</v>
      </c>
      <c r="Z9" s="23">
        <v>45916.0</v>
      </c>
      <c r="AA9" s="24" t="s">
        <v>33</v>
      </c>
      <c r="AB9" s="28" t="s">
        <v>167</v>
      </c>
      <c r="AC9" s="26" t="s">
        <v>41</v>
      </c>
      <c r="AD9" s="23">
        <v>45917.0</v>
      </c>
      <c r="AE9" s="11" t="s">
        <v>33</v>
      </c>
    </row>
    <row r="10" ht="22.5" customHeight="1">
      <c r="A10" s="5">
        <v>2.0</v>
      </c>
      <c r="B10" s="21">
        <v>1.0</v>
      </c>
      <c r="C10" s="5" t="s">
        <v>168</v>
      </c>
      <c r="D10" s="16" t="s">
        <v>169</v>
      </c>
      <c r="E10" s="7" t="str">
        <f>IFERROR(__xludf.DUMMYFUNCTION("IF(AND(F10 &gt; 0.3, F10 &lt; 0.5), SPARKLINE(F10,{""charttype"",""bar"";""color1"",""Gold"";""max"",1}),
IF(F10 = 1, SPARKLINE(F10,{""charttype"",""bar"";""color1"",""Lime"";""max"",1}),
IF(F10 &gt;= 0.5, SPARKLINE(F10,{""charttype"",""bar"";""color1"",""GreenYel"&amp;"low"";""max"",1}),
SPARKLINE(F10,{""charttype"",""bar"";""color1"",""DarkOrange"";""max"",1}))))"),"")</f>
        <v/>
      </c>
      <c r="F10" s="8">
        <f t="shared" si="1"/>
        <v>1</v>
      </c>
      <c r="G10" s="19"/>
      <c r="H10" s="5" t="s">
        <v>141</v>
      </c>
      <c r="I10" s="10">
        <v>45908.0</v>
      </c>
      <c r="J10" s="11" t="s">
        <v>33</v>
      </c>
      <c r="K10" s="10">
        <v>45908.0</v>
      </c>
      <c r="L10" s="27" t="s">
        <v>142</v>
      </c>
      <c r="M10" s="5" t="s">
        <v>34</v>
      </c>
      <c r="N10" s="10">
        <v>45909.0</v>
      </c>
      <c r="O10" s="11" t="s">
        <v>33</v>
      </c>
      <c r="P10" s="5" t="s">
        <v>141</v>
      </c>
      <c r="Q10" s="10">
        <v>45911.0</v>
      </c>
      <c r="R10" s="11" t="s">
        <v>33</v>
      </c>
      <c r="S10" s="5" t="s">
        <v>36</v>
      </c>
      <c r="T10" s="10">
        <v>45950.0</v>
      </c>
      <c r="U10" s="11" t="s">
        <v>33</v>
      </c>
      <c r="V10" s="5" t="s">
        <v>143</v>
      </c>
      <c r="W10" s="10"/>
      <c r="X10" s="11" t="s">
        <v>38</v>
      </c>
      <c r="Y10" s="5" t="s">
        <v>144</v>
      </c>
      <c r="Z10" s="23">
        <v>45916.0</v>
      </c>
      <c r="AA10" s="24" t="s">
        <v>33</v>
      </c>
      <c r="AB10" s="25" t="s">
        <v>170</v>
      </c>
      <c r="AC10" s="26" t="s">
        <v>41</v>
      </c>
      <c r="AD10" s="23">
        <v>45917.0</v>
      </c>
      <c r="AE10" s="11" t="s">
        <v>33</v>
      </c>
    </row>
    <row r="11" ht="22.5" customHeight="1">
      <c r="A11" s="5">
        <v>2.0</v>
      </c>
      <c r="B11" s="21">
        <v>1.0</v>
      </c>
      <c r="C11" s="5" t="s">
        <v>171</v>
      </c>
      <c r="D11" s="16" t="s">
        <v>72</v>
      </c>
      <c r="E11" s="7" t="str">
        <f>IFERROR(__xludf.DUMMYFUNCTION("IF(AND(F11 &gt; 0.3, F11 &lt; 0.5), SPARKLINE(F11,{""charttype"",""bar"";""color1"",""Gold"";""max"",1}),
IF(F11 = 1, SPARKLINE(F11,{""charttype"",""bar"";""color1"",""Lime"";""max"",1}),
IF(F11 &gt;= 0.5, SPARKLINE(F11,{""charttype"",""bar"";""color1"",""GreenYel"&amp;"low"";""max"",1}),
SPARKLINE(F11,{""charttype"",""bar"";""color1"",""DarkOrange"";""max"",1}))))"),"")</f>
        <v/>
      </c>
      <c r="F11" s="8">
        <f t="shared" si="1"/>
        <v>1</v>
      </c>
      <c r="G11" s="14" t="s">
        <v>172</v>
      </c>
      <c r="H11" s="5" t="s">
        <v>141</v>
      </c>
      <c r="I11" s="10">
        <v>45908.0</v>
      </c>
      <c r="J11" s="11" t="s">
        <v>33</v>
      </c>
      <c r="K11" s="10">
        <v>45908.0</v>
      </c>
      <c r="L11" s="27" t="s">
        <v>142</v>
      </c>
      <c r="M11" s="5" t="s">
        <v>34</v>
      </c>
      <c r="N11" s="10">
        <v>45909.0</v>
      </c>
      <c r="O11" s="11" t="s">
        <v>33</v>
      </c>
      <c r="P11" s="5"/>
      <c r="Q11" s="10"/>
      <c r="R11" s="11" t="s">
        <v>154</v>
      </c>
      <c r="S11" s="5" t="s">
        <v>36</v>
      </c>
      <c r="T11" s="10">
        <v>45950.0</v>
      </c>
      <c r="U11" s="11" t="s">
        <v>33</v>
      </c>
      <c r="V11" s="5" t="s">
        <v>143</v>
      </c>
      <c r="W11" s="10"/>
      <c r="X11" s="11" t="s">
        <v>38</v>
      </c>
      <c r="Y11" s="5" t="s">
        <v>51</v>
      </c>
      <c r="Z11" s="23">
        <v>45916.0</v>
      </c>
      <c r="AA11" s="24" t="s">
        <v>33</v>
      </c>
      <c r="AB11" s="28" t="s">
        <v>173</v>
      </c>
      <c r="AC11" s="26" t="s">
        <v>41</v>
      </c>
      <c r="AD11" s="23">
        <v>45917.0</v>
      </c>
      <c r="AE11" s="11" t="s">
        <v>33</v>
      </c>
    </row>
    <row r="12" ht="22.5" customHeight="1">
      <c r="A12" s="5">
        <v>2.0</v>
      </c>
      <c r="B12" s="21">
        <v>2.0</v>
      </c>
      <c r="C12" s="5" t="s">
        <v>174</v>
      </c>
      <c r="D12" s="16" t="s">
        <v>30</v>
      </c>
      <c r="E12" s="7" t="str">
        <f>IFERROR(__xludf.DUMMYFUNCTION("IF(AND(F12 &gt; 0.3, F12 &lt; 0.5), SPARKLINE(F12,{""charttype"",""bar"";""color1"",""Gold"";""max"",1}),
IF(F12 = 1, SPARKLINE(F12,{""charttype"",""bar"";""color1"",""Lime"";""max"",1}),
IF(F12 &gt;= 0.5, SPARKLINE(F12,{""charttype"",""bar"";""color1"",""GreenYel"&amp;"low"";""max"",1}),
SPARKLINE(F12,{""charttype"",""bar"";""color1"",""DarkOrange"";""max"",1}))))"),"")</f>
        <v/>
      </c>
      <c r="F12" s="8">
        <f t="shared" si="1"/>
        <v>1</v>
      </c>
      <c r="G12" s="14" t="s">
        <v>175</v>
      </c>
      <c r="H12" s="5" t="s">
        <v>141</v>
      </c>
      <c r="I12" s="10">
        <v>45910.0</v>
      </c>
      <c r="J12" s="11" t="s">
        <v>33</v>
      </c>
      <c r="K12" s="10">
        <v>45910.0</v>
      </c>
      <c r="L12" s="27" t="s">
        <v>142</v>
      </c>
      <c r="M12" s="5" t="s">
        <v>34</v>
      </c>
      <c r="N12" s="10">
        <v>45911.0</v>
      </c>
      <c r="O12" s="11" t="s">
        <v>33</v>
      </c>
      <c r="P12" s="5" t="s">
        <v>141</v>
      </c>
      <c r="Q12" s="10">
        <v>45915.0</v>
      </c>
      <c r="R12" s="11" t="s">
        <v>33</v>
      </c>
      <c r="S12" s="5" t="s">
        <v>36</v>
      </c>
      <c r="T12" s="10">
        <v>45950.0</v>
      </c>
      <c r="U12" s="11" t="s">
        <v>33</v>
      </c>
      <c r="V12" s="5" t="s">
        <v>143</v>
      </c>
      <c r="W12" s="10"/>
      <c r="X12" s="11" t="s">
        <v>38</v>
      </c>
      <c r="Y12" s="5" t="s">
        <v>144</v>
      </c>
      <c r="Z12" s="23">
        <v>45919.0</v>
      </c>
      <c r="AA12" s="24" t="s">
        <v>33</v>
      </c>
      <c r="AB12" s="25" t="s">
        <v>176</v>
      </c>
      <c r="AC12" s="26" t="s">
        <v>41</v>
      </c>
      <c r="AD12" s="23">
        <v>45922.0</v>
      </c>
      <c r="AE12" s="11" t="s">
        <v>33</v>
      </c>
    </row>
    <row r="13" ht="22.5" customHeight="1">
      <c r="A13" s="5">
        <v>2.0</v>
      </c>
      <c r="B13" s="21">
        <v>2.0</v>
      </c>
      <c r="C13" s="5" t="s">
        <v>177</v>
      </c>
      <c r="D13" s="16" t="s">
        <v>30</v>
      </c>
      <c r="E13" s="7" t="str">
        <f>IFERROR(__xludf.DUMMYFUNCTION("IF(AND(F13 &gt; 0.3, F13 &lt; 0.5), SPARKLINE(F13,{""charttype"",""bar"";""color1"",""Gold"";""max"",1}),
IF(F13 = 1, SPARKLINE(F13,{""charttype"",""bar"";""color1"",""Lime"";""max"",1}),
IF(F13 &gt;= 0.5, SPARKLINE(F13,{""charttype"",""bar"";""color1"",""GreenYel"&amp;"low"";""max"",1}),
SPARKLINE(F13,{""charttype"",""bar"";""color1"",""DarkOrange"";""max"",1}))))"),"")</f>
        <v/>
      </c>
      <c r="F13" s="8">
        <f t="shared" si="1"/>
        <v>1</v>
      </c>
      <c r="G13" s="14" t="s">
        <v>178</v>
      </c>
      <c r="H13" s="5" t="s">
        <v>141</v>
      </c>
      <c r="I13" s="10">
        <v>45910.0</v>
      </c>
      <c r="J13" s="11" t="s">
        <v>33</v>
      </c>
      <c r="K13" s="10">
        <v>45910.0</v>
      </c>
      <c r="L13" s="27" t="s">
        <v>142</v>
      </c>
      <c r="M13" s="5" t="s">
        <v>34</v>
      </c>
      <c r="N13" s="10">
        <v>45911.0</v>
      </c>
      <c r="O13" s="11" t="s">
        <v>33</v>
      </c>
      <c r="P13" s="5" t="s">
        <v>141</v>
      </c>
      <c r="Q13" s="10">
        <v>45915.0</v>
      </c>
      <c r="R13" s="11" t="s">
        <v>33</v>
      </c>
      <c r="S13" s="5" t="s">
        <v>36</v>
      </c>
      <c r="T13" s="10">
        <v>45950.0</v>
      </c>
      <c r="U13" s="11" t="s">
        <v>33</v>
      </c>
      <c r="V13" s="5" t="s">
        <v>143</v>
      </c>
      <c r="W13" s="10"/>
      <c r="X13" s="11" t="s">
        <v>38</v>
      </c>
      <c r="Y13" s="5" t="s">
        <v>144</v>
      </c>
      <c r="Z13" s="23">
        <v>45919.0</v>
      </c>
      <c r="AA13" s="24" t="s">
        <v>33</v>
      </c>
      <c r="AB13" s="25" t="s">
        <v>179</v>
      </c>
      <c r="AC13" s="26" t="s">
        <v>41</v>
      </c>
      <c r="AD13" s="23">
        <v>45922.0</v>
      </c>
      <c r="AE13" s="11" t="s">
        <v>33</v>
      </c>
    </row>
    <row r="14" ht="22.5" customHeight="1">
      <c r="A14" s="5">
        <v>2.0</v>
      </c>
      <c r="B14" s="21">
        <v>2.0</v>
      </c>
      <c r="C14" s="5" t="s">
        <v>180</v>
      </c>
      <c r="D14" s="16" t="s">
        <v>30</v>
      </c>
      <c r="E14" s="7" t="str">
        <f>IFERROR(__xludf.DUMMYFUNCTION("IF(AND(F14 &gt; 0.3, F14 &lt; 0.5), SPARKLINE(F14,{""charttype"",""bar"";""color1"",""Gold"";""max"",1}),
IF(F14 = 1, SPARKLINE(F14,{""charttype"",""bar"";""color1"",""Lime"";""max"",1}),
IF(F14 &gt;= 0.5, SPARKLINE(F14,{""charttype"",""bar"";""color1"",""GreenYel"&amp;"low"";""max"",1}),
SPARKLINE(F14,{""charttype"",""bar"";""color1"",""DarkOrange"";""max"",1}))))"),"")</f>
        <v/>
      </c>
      <c r="F14" s="8">
        <f t="shared" si="1"/>
        <v>1</v>
      </c>
      <c r="G14" s="14" t="s">
        <v>181</v>
      </c>
      <c r="H14" s="5" t="s">
        <v>141</v>
      </c>
      <c r="I14" s="10">
        <v>45910.0</v>
      </c>
      <c r="J14" s="11" t="s">
        <v>33</v>
      </c>
      <c r="K14" s="10">
        <v>45910.0</v>
      </c>
      <c r="L14" s="27" t="s">
        <v>142</v>
      </c>
      <c r="M14" s="5" t="s">
        <v>34</v>
      </c>
      <c r="N14" s="10">
        <v>45911.0</v>
      </c>
      <c r="O14" s="11" t="s">
        <v>33</v>
      </c>
      <c r="P14" s="5" t="s">
        <v>141</v>
      </c>
      <c r="Q14" s="10">
        <v>45915.0</v>
      </c>
      <c r="R14" s="11" t="s">
        <v>33</v>
      </c>
      <c r="S14" s="5" t="s">
        <v>36</v>
      </c>
      <c r="T14" s="10">
        <v>45950.0</v>
      </c>
      <c r="U14" s="11" t="s">
        <v>33</v>
      </c>
      <c r="V14" s="5" t="s">
        <v>143</v>
      </c>
      <c r="W14" s="10"/>
      <c r="X14" s="11" t="s">
        <v>38</v>
      </c>
      <c r="Y14" s="5" t="s">
        <v>144</v>
      </c>
      <c r="Z14" s="23">
        <v>45919.0</v>
      </c>
      <c r="AA14" s="24" t="s">
        <v>33</v>
      </c>
      <c r="AB14" s="25" t="s">
        <v>182</v>
      </c>
      <c r="AC14" s="26" t="s">
        <v>41</v>
      </c>
      <c r="AD14" s="23">
        <v>45922.0</v>
      </c>
      <c r="AE14" s="11" t="s">
        <v>33</v>
      </c>
    </row>
    <row r="15" ht="22.5" customHeight="1">
      <c r="A15" s="5">
        <v>2.0</v>
      </c>
      <c r="B15" s="21">
        <v>2.0</v>
      </c>
      <c r="C15" s="5" t="s">
        <v>183</v>
      </c>
      <c r="D15" s="16" t="s">
        <v>49</v>
      </c>
      <c r="E15" s="7" t="str">
        <f>IFERROR(__xludf.DUMMYFUNCTION("IF(AND(F15 &gt; 0.3, F15 &lt; 0.5), SPARKLINE(F15,{""charttype"",""bar"";""color1"",""Gold"";""max"",1}),
IF(F15 = 1, SPARKLINE(F15,{""charttype"",""bar"";""color1"",""Lime"";""max"",1}),
IF(F15 &gt;= 0.5, SPARKLINE(F15,{""charttype"",""bar"";""color1"",""GreenYel"&amp;"low"";""max"",1}),
SPARKLINE(F15,{""charttype"",""bar"";""color1"",""DarkOrange"";""max"",1}))))"),"")</f>
        <v/>
      </c>
      <c r="F15" s="8">
        <f t="shared" si="1"/>
        <v>1</v>
      </c>
      <c r="G15" s="14" t="s">
        <v>184</v>
      </c>
      <c r="H15" s="5" t="s">
        <v>141</v>
      </c>
      <c r="I15" s="10">
        <v>45910.0</v>
      </c>
      <c r="J15" s="11" t="s">
        <v>33</v>
      </c>
      <c r="K15" s="10">
        <v>45910.0</v>
      </c>
      <c r="L15" s="27" t="s">
        <v>142</v>
      </c>
      <c r="M15" s="5" t="s">
        <v>34</v>
      </c>
      <c r="N15" s="10">
        <v>45911.0</v>
      </c>
      <c r="O15" s="11" t="s">
        <v>33</v>
      </c>
      <c r="P15" s="5"/>
      <c r="Q15" s="10"/>
      <c r="R15" s="11" t="s">
        <v>154</v>
      </c>
      <c r="S15" s="5" t="s">
        <v>36</v>
      </c>
      <c r="T15" s="10">
        <v>45950.0</v>
      </c>
      <c r="U15" s="11" t="s">
        <v>33</v>
      </c>
      <c r="V15" s="5" t="s">
        <v>143</v>
      </c>
      <c r="W15" s="10"/>
      <c r="X15" s="11" t="s">
        <v>38</v>
      </c>
      <c r="Y15" s="5" t="s">
        <v>51</v>
      </c>
      <c r="Z15" s="23">
        <v>45919.0</v>
      </c>
      <c r="AA15" s="24" t="s">
        <v>33</v>
      </c>
      <c r="AB15" s="28" t="s">
        <v>185</v>
      </c>
      <c r="AC15" s="26" t="s">
        <v>41</v>
      </c>
      <c r="AD15" s="23">
        <v>45922.0</v>
      </c>
      <c r="AE15" s="11" t="s">
        <v>33</v>
      </c>
    </row>
    <row r="16" ht="22.5" customHeight="1">
      <c r="A16" s="5">
        <v>2.0</v>
      </c>
      <c r="B16" s="21">
        <v>2.0</v>
      </c>
      <c r="C16" s="5" t="s">
        <v>186</v>
      </c>
      <c r="D16" s="16" t="s">
        <v>49</v>
      </c>
      <c r="E16" s="7" t="str">
        <f>IFERROR(__xludf.DUMMYFUNCTION("IF(AND(F16 &gt; 0.3, F16 &lt; 0.5), SPARKLINE(F16,{""charttype"",""bar"";""color1"",""Gold"";""max"",1}),
IF(F16 = 1, SPARKLINE(F16,{""charttype"",""bar"";""color1"",""Lime"";""max"",1}),
IF(F16 &gt;= 0.5, SPARKLINE(F16,{""charttype"",""bar"";""color1"",""GreenYel"&amp;"low"";""max"",1}),
SPARKLINE(F16,{""charttype"",""bar"";""color1"",""DarkOrange"";""max"",1}))))"),"")</f>
        <v/>
      </c>
      <c r="F16" s="8">
        <f t="shared" si="1"/>
        <v>1</v>
      </c>
      <c r="G16" s="14" t="s">
        <v>187</v>
      </c>
      <c r="H16" s="5" t="s">
        <v>141</v>
      </c>
      <c r="I16" s="10">
        <v>45910.0</v>
      </c>
      <c r="J16" s="11" t="s">
        <v>33</v>
      </c>
      <c r="K16" s="10">
        <v>45910.0</v>
      </c>
      <c r="L16" s="27" t="s">
        <v>142</v>
      </c>
      <c r="M16" s="5" t="s">
        <v>34</v>
      </c>
      <c r="N16" s="10">
        <v>45911.0</v>
      </c>
      <c r="O16" s="11" t="s">
        <v>33</v>
      </c>
      <c r="P16" s="5"/>
      <c r="Q16" s="10"/>
      <c r="R16" s="11" t="s">
        <v>154</v>
      </c>
      <c r="S16" s="5" t="s">
        <v>36</v>
      </c>
      <c r="T16" s="10">
        <v>45950.0</v>
      </c>
      <c r="U16" s="11" t="s">
        <v>33</v>
      </c>
      <c r="V16" s="5" t="s">
        <v>143</v>
      </c>
      <c r="W16" s="10"/>
      <c r="X16" s="11" t="s">
        <v>38</v>
      </c>
      <c r="Y16" s="5" t="s">
        <v>51</v>
      </c>
      <c r="Z16" s="23">
        <v>45919.0</v>
      </c>
      <c r="AA16" s="24" t="s">
        <v>33</v>
      </c>
      <c r="AB16" s="28" t="s">
        <v>188</v>
      </c>
      <c r="AC16" s="26" t="s">
        <v>41</v>
      </c>
      <c r="AD16" s="23">
        <v>45922.0</v>
      </c>
      <c r="AE16" s="11" t="s">
        <v>33</v>
      </c>
    </row>
    <row r="17" ht="22.5" customHeight="1">
      <c r="A17" s="5">
        <v>2.0</v>
      </c>
      <c r="B17" s="21">
        <v>2.0</v>
      </c>
      <c r="C17" s="5" t="s">
        <v>189</v>
      </c>
      <c r="D17" s="16" t="s">
        <v>49</v>
      </c>
      <c r="E17" s="7" t="str">
        <f>IFERROR(__xludf.DUMMYFUNCTION("IF(AND(F17 &gt; 0.3, F17 &lt; 0.5), SPARKLINE(F17,{""charttype"",""bar"";""color1"",""Gold"";""max"",1}),
IF(F17 = 1, SPARKLINE(F17,{""charttype"",""bar"";""color1"",""Lime"";""max"",1}),
IF(F17 &gt;= 0.5, SPARKLINE(F17,{""charttype"",""bar"";""color1"",""GreenYel"&amp;"low"";""max"",1}),
SPARKLINE(F17,{""charttype"",""bar"";""color1"",""DarkOrange"";""max"",1}))))"),"")</f>
        <v/>
      </c>
      <c r="F17" s="8">
        <f t="shared" si="1"/>
        <v>1</v>
      </c>
      <c r="G17" s="14" t="s">
        <v>190</v>
      </c>
      <c r="H17" s="5" t="s">
        <v>141</v>
      </c>
      <c r="I17" s="10">
        <v>45910.0</v>
      </c>
      <c r="J17" s="11" t="s">
        <v>33</v>
      </c>
      <c r="K17" s="10">
        <v>45910.0</v>
      </c>
      <c r="L17" s="27" t="s">
        <v>142</v>
      </c>
      <c r="M17" s="5" t="s">
        <v>34</v>
      </c>
      <c r="N17" s="10">
        <v>45911.0</v>
      </c>
      <c r="O17" s="11" t="s">
        <v>33</v>
      </c>
      <c r="P17" s="5"/>
      <c r="Q17" s="10"/>
      <c r="R17" s="11" t="s">
        <v>154</v>
      </c>
      <c r="S17" s="5" t="s">
        <v>36</v>
      </c>
      <c r="T17" s="10">
        <v>45950.0</v>
      </c>
      <c r="U17" s="11" t="s">
        <v>33</v>
      </c>
      <c r="V17" s="5" t="s">
        <v>143</v>
      </c>
      <c r="W17" s="10"/>
      <c r="X17" s="11" t="s">
        <v>38</v>
      </c>
      <c r="Y17" s="5" t="s">
        <v>51</v>
      </c>
      <c r="Z17" s="23">
        <v>45919.0</v>
      </c>
      <c r="AA17" s="24" t="s">
        <v>33</v>
      </c>
      <c r="AB17" s="28" t="s">
        <v>191</v>
      </c>
      <c r="AC17" s="26" t="s">
        <v>41</v>
      </c>
      <c r="AD17" s="23">
        <v>45922.0</v>
      </c>
      <c r="AE17" s="11" t="s">
        <v>33</v>
      </c>
    </row>
    <row r="18" ht="22.5" customHeight="1">
      <c r="A18" s="5">
        <v>2.0</v>
      </c>
      <c r="B18" s="21">
        <v>2.0</v>
      </c>
      <c r="C18" s="5" t="s">
        <v>192</v>
      </c>
      <c r="D18" s="16" t="s">
        <v>60</v>
      </c>
      <c r="E18" s="7" t="str">
        <f>IFERROR(__xludf.DUMMYFUNCTION("IF(AND(F18 &gt; 0.3, F18 &lt; 0.5), SPARKLINE(F18,{""charttype"",""bar"";""color1"",""Gold"";""max"",1}),
IF(F18 = 1, SPARKLINE(F18,{""charttype"",""bar"";""color1"",""Lime"";""max"",1}),
IF(F18 &gt;= 0.5, SPARKLINE(F18,{""charttype"",""bar"";""color1"",""GreenYel"&amp;"low"";""max"",1}),
SPARKLINE(F18,{""charttype"",""bar"";""color1"",""DarkOrange"";""max"",1}))))"),"")</f>
        <v/>
      </c>
      <c r="F18" s="8">
        <f t="shared" si="1"/>
        <v>1</v>
      </c>
      <c r="G18" s="14" t="s">
        <v>193</v>
      </c>
      <c r="H18" s="5" t="s">
        <v>141</v>
      </c>
      <c r="I18" s="10">
        <v>45910.0</v>
      </c>
      <c r="J18" s="11" t="s">
        <v>33</v>
      </c>
      <c r="K18" s="10">
        <v>45910.0</v>
      </c>
      <c r="L18" s="27" t="s">
        <v>142</v>
      </c>
      <c r="M18" s="5" t="s">
        <v>34</v>
      </c>
      <c r="N18" s="10">
        <v>45911.0</v>
      </c>
      <c r="O18" s="11" t="s">
        <v>33</v>
      </c>
      <c r="P18" s="5"/>
      <c r="Q18" s="10"/>
      <c r="R18" s="11" t="s">
        <v>154</v>
      </c>
      <c r="S18" s="5" t="s">
        <v>36</v>
      </c>
      <c r="T18" s="10">
        <v>45950.0</v>
      </c>
      <c r="U18" s="11" t="s">
        <v>33</v>
      </c>
      <c r="V18" s="5" t="s">
        <v>143</v>
      </c>
      <c r="W18" s="10"/>
      <c r="X18" s="11" t="s">
        <v>38</v>
      </c>
      <c r="Y18" s="5" t="s">
        <v>51</v>
      </c>
      <c r="Z18" s="23">
        <v>45919.0</v>
      </c>
      <c r="AA18" s="24" t="s">
        <v>33</v>
      </c>
      <c r="AB18" s="28" t="s">
        <v>194</v>
      </c>
      <c r="AC18" s="26" t="s">
        <v>41</v>
      </c>
      <c r="AD18" s="23">
        <v>45922.0</v>
      </c>
      <c r="AE18" s="11" t="s">
        <v>33</v>
      </c>
    </row>
    <row r="19" ht="22.5" customHeight="1">
      <c r="A19" s="5">
        <v>2.0</v>
      </c>
      <c r="B19" s="21">
        <v>2.0</v>
      </c>
      <c r="C19" s="5" t="s">
        <v>195</v>
      </c>
      <c r="D19" s="16" t="s">
        <v>64</v>
      </c>
      <c r="E19" s="7" t="str">
        <f>IFERROR(__xludf.DUMMYFUNCTION("IF(AND(F19 &gt; 0.3, F19 &lt; 0.5), SPARKLINE(F19,{""charttype"",""bar"";""color1"",""Gold"";""max"",1}),
IF(F19 = 1, SPARKLINE(F19,{""charttype"",""bar"";""color1"",""Lime"";""max"",1}),
IF(F19 &gt;= 0.5, SPARKLINE(F19,{""charttype"",""bar"";""color1"",""GreenYel"&amp;"low"";""max"",1}),
SPARKLINE(F19,{""charttype"",""bar"";""color1"",""DarkOrange"";""max"",1}))))"),"")</f>
        <v/>
      </c>
      <c r="F19" s="8">
        <f t="shared" si="1"/>
        <v>1</v>
      </c>
      <c r="G19" s="14" t="s">
        <v>196</v>
      </c>
      <c r="H19" s="5" t="s">
        <v>141</v>
      </c>
      <c r="I19" s="10">
        <v>45910.0</v>
      </c>
      <c r="J19" s="11" t="s">
        <v>33</v>
      </c>
      <c r="K19" s="10">
        <v>45910.0</v>
      </c>
      <c r="L19" s="27" t="s">
        <v>142</v>
      </c>
      <c r="M19" s="5" t="s">
        <v>34</v>
      </c>
      <c r="N19" s="10">
        <v>45911.0</v>
      </c>
      <c r="O19" s="11" t="s">
        <v>33</v>
      </c>
      <c r="P19" s="5"/>
      <c r="Q19" s="10"/>
      <c r="R19" s="11" t="s">
        <v>154</v>
      </c>
      <c r="S19" s="5" t="s">
        <v>36</v>
      </c>
      <c r="T19" s="10">
        <v>45950.0</v>
      </c>
      <c r="U19" s="11" t="s">
        <v>33</v>
      </c>
      <c r="V19" s="5" t="s">
        <v>143</v>
      </c>
      <c r="W19" s="10"/>
      <c r="X19" s="11" t="s">
        <v>38</v>
      </c>
      <c r="Y19" s="5" t="s">
        <v>51</v>
      </c>
      <c r="Z19" s="23">
        <v>45919.0</v>
      </c>
      <c r="AA19" s="24" t="s">
        <v>33</v>
      </c>
      <c r="AB19" s="28" t="s">
        <v>197</v>
      </c>
      <c r="AC19" s="26" t="s">
        <v>41</v>
      </c>
      <c r="AD19" s="23">
        <v>45922.0</v>
      </c>
      <c r="AE19" s="11" t="s">
        <v>33</v>
      </c>
    </row>
    <row r="20" ht="22.5" customHeight="1">
      <c r="A20" s="5">
        <v>2.0</v>
      </c>
      <c r="B20" s="21">
        <v>2.0</v>
      </c>
      <c r="C20" s="5" t="s">
        <v>198</v>
      </c>
      <c r="D20" s="16" t="s">
        <v>169</v>
      </c>
      <c r="E20" s="7" t="str">
        <f>IFERROR(__xludf.DUMMYFUNCTION("IF(AND(F20 &gt; 0.3, F20 &lt; 0.5), SPARKLINE(F20,{""charttype"",""bar"";""color1"",""Gold"";""max"",1}),
IF(F20 = 1, SPARKLINE(F20,{""charttype"",""bar"";""color1"",""Lime"";""max"",1}),
IF(F20 &gt;= 0.5, SPARKLINE(F20,{""charttype"",""bar"";""color1"",""GreenYel"&amp;"low"";""max"",1}),
SPARKLINE(F20,{""charttype"",""bar"";""color1"",""DarkOrange"";""max"",1}))))"),"")</f>
        <v/>
      </c>
      <c r="F20" s="8">
        <f t="shared" si="1"/>
        <v>1</v>
      </c>
      <c r="G20" s="19"/>
      <c r="H20" s="5" t="s">
        <v>141</v>
      </c>
      <c r="I20" s="10">
        <v>45910.0</v>
      </c>
      <c r="J20" s="11" t="s">
        <v>33</v>
      </c>
      <c r="K20" s="10">
        <v>45910.0</v>
      </c>
      <c r="L20" s="27" t="s">
        <v>142</v>
      </c>
      <c r="M20" s="5" t="s">
        <v>34</v>
      </c>
      <c r="N20" s="10">
        <v>45911.0</v>
      </c>
      <c r="O20" s="11" t="s">
        <v>33</v>
      </c>
      <c r="P20" s="5" t="s">
        <v>141</v>
      </c>
      <c r="Q20" s="10">
        <v>45915.0</v>
      </c>
      <c r="R20" s="11" t="s">
        <v>33</v>
      </c>
      <c r="S20" s="5" t="s">
        <v>36</v>
      </c>
      <c r="T20" s="10">
        <v>45950.0</v>
      </c>
      <c r="U20" s="11" t="s">
        <v>33</v>
      </c>
      <c r="V20" s="5" t="s">
        <v>143</v>
      </c>
      <c r="W20" s="10"/>
      <c r="X20" s="11" t="s">
        <v>38</v>
      </c>
      <c r="Y20" s="5" t="s">
        <v>144</v>
      </c>
      <c r="Z20" s="23">
        <v>45919.0</v>
      </c>
      <c r="AA20" s="24" t="s">
        <v>33</v>
      </c>
      <c r="AB20" s="25" t="s">
        <v>199</v>
      </c>
      <c r="AC20" s="26" t="s">
        <v>41</v>
      </c>
      <c r="AD20" s="23">
        <v>45922.0</v>
      </c>
      <c r="AE20" s="11" t="s">
        <v>33</v>
      </c>
    </row>
    <row r="21" ht="22.5" customHeight="1">
      <c r="A21" s="5">
        <v>2.0</v>
      </c>
      <c r="B21" s="21">
        <v>2.0</v>
      </c>
      <c r="C21" s="5" t="s">
        <v>200</v>
      </c>
      <c r="D21" s="16" t="s">
        <v>72</v>
      </c>
      <c r="E21" s="7" t="str">
        <f>IFERROR(__xludf.DUMMYFUNCTION("IF(AND(F21 &gt; 0.3, F21 &lt; 0.5), SPARKLINE(F21,{""charttype"",""bar"";""color1"",""Gold"";""max"",1}),
IF(F21 = 1, SPARKLINE(F21,{""charttype"",""bar"";""color1"",""Lime"";""max"",1}),
IF(F21 &gt;= 0.5, SPARKLINE(F21,{""charttype"",""bar"";""color1"",""GreenYel"&amp;"low"";""max"",1}),
SPARKLINE(F21,{""charttype"",""bar"";""color1"",""DarkOrange"";""max"",1}))))"),"")</f>
        <v/>
      </c>
      <c r="F21" s="8">
        <f t="shared" si="1"/>
        <v>1</v>
      </c>
      <c r="G21" s="14" t="s">
        <v>201</v>
      </c>
      <c r="H21" s="5" t="s">
        <v>141</v>
      </c>
      <c r="I21" s="10">
        <v>45910.0</v>
      </c>
      <c r="J21" s="20" t="s">
        <v>33</v>
      </c>
      <c r="K21" s="10">
        <v>45910.0</v>
      </c>
      <c r="L21" s="27" t="s">
        <v>142</v>
      </c>
      <c r="M21" s="5" t="s">
        <v>34</v>
      </c>
      <c r="N21" s="10">
        <v>45911.0</v>
      </c>
      <c r="O21" s="11" t="s">
        <v>33</v>
      </c>
      <c r="P21" s="5"/>
      <c r="Q21" s="10"/>
      <c r="R21" s="11" t="s">
        <v>154</v>
      </c>
      <c r="S21" s="5" t="s">
        <v>36</v>
      </c>
      <c r="T21" s="10">
        <v>45950.0</v>
      </c>
      <c r="U21" s="11" t="s">
        <v>33</v>
      </c>
      <c r="V21" s="5" t="s">
        <v>143</v>
      </c>
      <c r="W21" s="10"/>
      <c r="X21" s="11" t="s">
        <v>38</v>
      </c>
      <c r="Y21" s="5" t="s">
        <v>51</v>
      </c>
      <c r="Z21" s="23">
        <v>45919.0</v>
      </c>
      <c r="AA21" s="29" t="s">
        <v>33</v>
      </c>
      <c r="AB21" s="28" t="s">
        <v>202</v>
      </c>
      <c r="AC21" s="26" t="s">
        <v>41</v>
      </c>
      <c r="AD21" s="23">
        <v>45922.0</v>
      </c>
      <c r="AE21" s="20" t="s">
        <v>33</v>
      </c>
    </row>
    <row r="22" ht="22.5" customHeight="1">
      <c r="A22" s="5">
        <v>2.0</v>
      </c>
      <c r="B22" s="21">
        <v>2.0</v>
      </c>
      <c r="C22" s="5" t="s">
        <v>203</v>
      </c>
      <c r="D22" s="16" t="s">
        <v>68</v>
      </c>
      <c r="E22" s="7" t="str">
        <f>IFERROR(__xludf.DUMMYFUNCTION("IF(AND(F22 &gt; 0.3, F22 &lt; 0.5), SPARKLINE(F22,{""charttype"",""bar"";""color1"",""Gold"";""max"",1}),
IF(F22 = 1, SPARKLINE(F22,{""charttype"",""bar"";""color1"",""Lime"";""max"",1}),
IF(F22 &gt;= 0.5, SPARKLINE(F22,{""charttype"",""bar"";""color1"",""GreenYel"&amp;"low"";""max"",1}),
SPARKLINE(F22,{""charttype"",""bar"";""color1"",""DarkOrange"";""max"",1}))))"),"")</f>
        <v/>
      </c>
      <c r="F22" s="8">
        <f t="shared" si="1"/>
        <v>1</v>
      </c>
      <c r="G22" s="14" t="s">
        <v>204</v>
      </c>
      <c r="H22" s="5" t="s">
        <v>141</v>
      </c>
      <c r="I22" s="10">
        <v>45910.0</v>
      </c>
      <c r="J22" s="20" t="s">
        <v>33</v>
      </c>
      <c r="K22" s="10">
        <v>45910.0</v>
      </c>
      <c r="L22" s="27" t="s">
        <v>142</v>
      </c>
      <c r="M22" s="5" t="s">
        <v>34</v>
      </c>
      <c r="N22" s="10">
        <v>45911.0</v>
      </c>
      <c r="O22" s="11" t="s">
        <v>33</v>
      </c>
      <c r="P22" s="5"/>
      <c r="Q22" s="10"/>
      <c r="R22" s="11" t="s">
        <v>154</v>
      </c>
      <c r="S22" s="5" t="s">
        <v>36</v>
      </c>
      <c r="T22" s="10">
        <v>45950.0</v>
      </c>
      <c r="U22" s="11" t="s">
        <v>33</v>
      </c>
      <c r="V22" s="5" t="s">
        <v>143</v>
      </c>
      <c r="W22" s="10"/>
      <c r="X22" s="11" t="s">
        <v>38</v>
      </c>
      <c r="Y22" s="5" t="s">
        <v>51</v>
      </c>
      <c r="Z22" s="23">
        <v>45919.0</v>
      </c>
      <c r="AA22" s="29" t="s">
        <v>33</v>
      </c>
      <c r="AB22" s="28" t="s">
        <v>205</v>
      </c>
      <c r="AC22" s="26" t="s">
        <v>41</v>
      </c>
      <c r="AD22" s="23">
        <v>45922.0</v>
      </c>
      <c r="AE22" s="20" t="s">
        <v>33</v>
      </c>
    </row>
  </sheetData>
  <dataValidations>
    <dataValidation type="list" allowBlank="1" sqref="J2:J22 U2:U22 X2:X22 AA2:AA22">
      <formula1>"Concluído,Em Andamento,Pendente,Precisa de Alteração"</formula1>
    </dataValidation>
    <dataValidation type="list" allowBlank="1" sqref="R2:R22">
      <formula1>"Concluído,Em Andamento,Pendente,Precisa de Alteração,Não há"</formula1>
    </dataValidation>
    <dataValidation type="custom" allowBlank="1" showDropDown="1" sqref="I2:I22 K2:K22 N2:N22 Q2:Q22 T2:T22 W2:W22 Z2:Z22 AD2:AD22">
      <formula1>OR(NOT(ISERROR(DATEVALUE(I2))), AND(ISNUMBER(I2), LEFT(CELL("format", I2))="D"))</formula1>
    </dataValidation>
    <dataValidation type="list" allowBlank="1" sqref="O2:O22 AE2:AE22">
      <formula1>"Concluído,Em Andamento,Pendente,Aguardando Correção"</formula1>
    </dataValidation>
    <dataValidation type="custom" allowBlank="1" showDropDown="1" sqref="F2:F22">
      <formula1>AND(ISNUMBER(F2),(NOT(OR(NOT(ISERROR(DATEVALUE(F2))), AND(ISNUMBER(F2), LEFT(CELL("format", F2))="D")))))</formula1>
    </dataValidation>
    <dataValidation type="list" allowBlank="1" sqref="L2:L22">
      <formula1>"No prazo,Atrasado,Concluído com Atraso"</formula1>
    </dataValidation>
  </dataValidations>
  <hyperlinks>
    <hyperlink r:id="rId1" ref="G2"/>
    <hyperlink r:id="rId2" ref="AB2"/>
    <hyperlink r:id="rId3" ref="G3"/>
    <hyperlink r:id="rId4" ref="AB3"/>
    <hyperlink r:id="rId5" ref="G4"/>
    <hyperlink r:id="rId6" ref="AB4"/>
    <hyperlink r:id="rId7" ref="G5"/>
    <hyperlink r:id="rId8" ref="AB5"/>
    <hyperlink r:id="rId9" ref="G6"/>
    <hyperlink r:id="rId10" ref="AB6"/>
    <hyperlink r:id="rId11" ref="G7"/>
    <hyperlink r:id="rId12" ref="AB7"/>
    <hyperlink r:id="rId13" ref="G8"/>
    <hyperlink r:id="rId14" ref="AB8"/>
    <hyperlink r:id="rId15" ref="G9"/>
    <hyperlink r:id="rId16" ref="AB9"/>
    <hyperlink r:id="rId17" ref="AB10"/>
    <hyperlink r:id="rId18" ref="G11"/>
    <hyperlink r:id="rId19" ref="AB11"/>
    <hyperlink r:id="rId20" ref="G12"/>
    <hyperlink r:id="rId21" ref="AB12"/>
    <hyperlink r:id="rId22" ref="G13"/>
    <hyperlink r:id="rId23" ref="AB13"/>
    <hyperlink r:id="rId24" ref="G14"/>
    <hyperlink r:id="rId25" ref="AB14"/>
    <hyperlink r:id="rId26" ref="G15"/>
    <hyperlink r:id="rId27" ref="AB15"/>
    <hyperlink r:id="rId28" ref="G16"/>
    <hyperlink r:id="rId29" ref="AB16"/>
    <hyperlink r:id="rId30" ref="G17"/>
    <hyperlink r:id="rId31" ref="AB17"/>
    <hyperlink r:id="rId32" ref="G18"/>
    <hyperlink r:id="rId33" ref="AB18"/>
    <hyperlink r:id="rId34" ref="G19"/>
    <hyperlink r:id="rId35" ref="AB19"/>
    <hyperlink r:id="rId36" ref="AB20"/>
    <hyperlink r:id="rId37" ref="G21"/>
    <hyperlink r:id="rId38" ref="AB21"/>
    <hyperlink r:id="rId39" ref="G22"/>
    <hyperlink r:id="rId40" ref="AB22"/>
  </hyperlinks>
  <drawing r:id="rId41"/>
  <tableParts count="1">
    <tablePart r:id="rId4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23.0"/>
    <col customWidth="1" min="2" max="2" width="10.63"/>
    <col customWidth="1" min="3" max="3" width="19.13"/>
    <col customWidth="1" min="4" max="4" width="17.25"/>
    <col customWidth="1" min="5" max="5" width="24.38"/>
    <col customWidth="1" min="6" max="6" width="7.75"/>
    <col customWidth="1" min="7" max="7" width="27.63"/>
    <col customWidth="1" min="8" max="8" width="16.25"/>
    <col customWidth="1" min="9" max="9" width="20.13"/>
    <col customWidth="1" min="10" max="10" width="21.75"/>
    <col customWidth="1" min="11" max="11" width="20.13"/>
    <col customWidth="1" min="12" max="12" width="21.75"/>
    <col customWidth="1" min="13" max="13" width="16.25"/>
    <col customWidth="1" min="14" max="14" width="20.13"/>
    <col customWidth="1" min="15" max="15" width="21.75"/>
    <col customWidth="1" min="16" max="16" width="16.63"/>
    <col customWidth="1" min="17" max="17" width="20.13"/>
    <col customWidth="1" min="18" max="18" width="21.75"/>
    <col customWidth="1" min="19" max="19" width="18.75"/>
    <col customWidth="1" min="20" max="20" width="20.13"/>
    <col customWidth="1" min="21" max="21" width="21.75"/>
    <col customWidth="1" min="22" max="22" width="16.25"/>
    <col customWidth="1" min="23" max="23" width="20.13"/>
    <col customWidth="1" min="24" max="24" width="21.75"/>
    <col customWidth="1" min="25" max="25" width="16.25"/>
    <col customWidth="1" min="26" max="26" width="20.13"/>
    <col customWidth="1" min="27" max="27" width="21.75"/>
    <col customWidth="1" min="28" max="28" width="30.13"/>
    <col customWidth="1" min="29" max="29" width="16.25"/>
    <col customWidth="1" min="30" max="30" width="20.13"/>
    <col customWidth="1" min="31" max="31" width="21.75"/>
  </cols>
  <sheetData>
    <row r="1" ht="22.5" customHeight="1">
      <c r="A1" s="1" t="s">
        <v>135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136</v>
      </c>
      <c r="L1" s="1" t="s">
        <v>137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138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4" t="s">
        <v>25</v>
      </c>
      <c r="AC1" s="1" t="s">
        <v>26</v>
      </c>
      <c r="AD1" s="1" t="s">
        <v>27</v>
      </c>
      <c r="AE1" s="1" t="s">
        <v>28</v>
      </c>
    </row>
    <row r="2" ht="22.5" customHeight="1">
      <c r="A2" s="5">
        <v>3.0</v>
      </c>
      <c r="B2" s="21">
        <v>1.0</v>
      </c>
      <c r="C2" s="5" t="s">
        <v>206</v>
      </c>
      <c r="D2" s="16" t="s">
        <v>30</v>
      </c>
      <c r="E2" s="7" t="str">
        <f>IFERROR(__xludf.DUMMYFUNCTION("IF(AND(F2 &gt; 0.3, F2 &lt; 0.5), SPARKLINE(F2,{""charttype"",""bar"";""color1"",""Gold"";""max"",1}),
IF(F2 = 1, SPARKLINE(F2,{""charttype"",""bar"";""color1"",""Lime"";""max"",1}),
IF(F2 &gt;= 0.5, SPARKLINE(F2,{""charttype"",""bar"";""color1"",""GreenYellow"";"&amp;"""max"",1}),
SPARKLINE(F2,{""charttype"",""bar"";""color1"",""DarkOrange"";""max"",1}))))"),"")</f>
        <v/>
      </c>
      <c r="F2" s="8">
        <f t="shared" ref="F2:F44" si="1">IF(OR(D2="ROTEIRO DE VÍDEO", D2="VÍDEO"), (IF(J2="Concluído", 1, 0) + IF(O2="Concluído", 1, 0) + IF(R2="Concluído", 1, 0) + IF(U2="Concluído", 1, 0) + IF(AA2="Concluído", 1, 0) + IF(AE2="Concluído", 1, 0)) / 6,
IF(OR(D2="SLIDE", D2="FÓRUM", D2="PLANO DE AULA", D2="QUIZ", D2="TAREFA", D2="EBOOK", D2="PDF(AVULSO)"), (IF(J2="Concluído", 1, 0) + IF(O2="Concluído", 1, 0) + IF(U2="Concluído", 1, 0)  + IF(AA2="Concluído", 1, 0) + IF(AE2="Concluído", 1, 0)) / 5,0))</f>
        <v>1</v>
      </c>
      <c r="G2" s="18" t="s">
        <v>207</v>
      </c>
      <c r="H2" s="5" t="s">
        <v>141</v>
      </c>
      <c r="I2" s="10">
        <v>45910.0</v>
      </c>
      <c r="J2" s="11" t="s">
        <v>33</v>
      </c>
      <c r="K2" s="10">
        <v>45910.0</v>
      </c>
      <c r="L2" s="22" t="s">
        <v>142</v>
      </c>
      <c r="M2" s="5" t="s">
        <v>34</v>
      </c>
      <c r="N2" s="10">
        <v>45911.0</v>
      </c>
      <c r="O2" s="11" t="s">
        <v>33</v>
      </c>
      <c r="P2" s="5" t="s">
        <v>141</v>
      </c>
      <c r="Q2" s="10">
        <v>45916.0</v>
      </c>
      <c r="R2" s="11" t="s">
        <v>33</v>
      </c>
      <c r="S2" s="5" t="s">
        <v>36</v>
      </c>
      <c r="T2" s="10">
        <v>45950.0</v>
      </c>
      <c r="U2" s="11" t="s">
        <v>33</v>
      </c>
      <c r="V2" s="5" t="s">
        <v>143</v>
      </c>
      <c r="W2" s="10"/>
      <c r="X2" s="11" t="s">
        <v>38</v>
      </c>
      <c r="Y2" s="5" t="s">
        <v>144</v>
      </c>
      <c r="Z2" s="23">
        <v>45919.0</v>
      </c>
      <c r="AA2" s="24" t="s">
        <v>33</v>
      </c>
      <c r="AB2" s="30" t="s">
        <v>208</v>
      </c>
      <c r="AC2" s="26" t="s">
        <v>41</v>
      </c>
      <c r="AD2" s="23">
        <v>45922.0</v>
      </c>
      <c r="AE2" s="11" t="s">
        <v>33</v>
      </c>
    </row>
    <row r="3" ht="22.5" customHeight="1">
      <c r="A3" s="5">
        <v>3.0</v>
      </c>
      <c r="B3" s="21">
        <v>1.0</v>
      </c>
      <c r="C3" s="5" t="s">
        <v>209</v>
      </c>
      <c r="D3" s="16" t="s">
        <v>30</v>
      </c>
      <c r="E3" s="7" t="str">
        <f>IFERROR(__xludf.DUMMYFUNCTION("IF(AND(F3 &gt; 0.3, F3 &lt; 0.5), SPARKLINE(F3,{""charttype"",""bar"";""color1"",""Gold"";""max"",1}),
IF(F3 = 1, SPARKLINE(F3,{""charttype"",""bar"";""color1"",""Lime"";""max"",1}),
IF(F3 &gt;= 0.5, SPARKLINE(F3,{""charttype"",""bar"";""color1"",""GreenYellow"";"&amp;"""max"",1}),
SPARKLINE(F3,{""charttype"",""bar"";""color1"",""DarkOrange"";""max"",1}))))"),"")</f>
        <v/>
      </c>
      <c r="F3" s="8">
        <f t="shared" si="1"/>
        <v>1</v>
      </c>
      <c r="G3" s="15" t="s">
        <v>210</v>
      </c>
      <c r="H3" s="5" t="s">
        <v>141</v>
      </c>
      <c r="I3" s="10">
        <v>45910.0</v>
      </c>
      <c r="J3" s="11" t="s">
        <v>33</v>
      </c>
      <c r="K3" s="10">
        <v>45910.0</v>
      </c>
      <c r="L3" s="27" t="s">
        <v>142</v>
      </c>
      <c r="M3" s="5" t="s">
        <v>34</v>
      </c>
      <c r="N3" s="10">
        <v>45911.0</v>
      </c>
      <c r="O3" s="11" t="s">
        <v>33</v>
      </c>
      <c r="P3" s="5" t="s">
        <v>141</v>
      </c>
      <c r="Q3" s="10">
        <v>45916.0</v>
      </c>
      <c r="R3" s="11" t="s">
        <v>33</v>
      </c>
      <c r="S3" s="5" t="s">
        <v>36</v>
      </c>
      <c r="T3" s="10">
        <v>45950.0</v>
      </c>
      <c r="U3" s="11" t="s">
        <v>33</v>
      </c>
      <c r="V3" s="5" t="s">
        <v>143</v>
      </c>
      <c r="W3" s="10"/>
      <c r="X3" s="11" t="s">
        <v>38</v>
      </c>
      <c r="Y3" s="5" t="s">
        <v>144</v>
      </c>
      <c r="Z3" s="23">
        <v>45919.0</v>
      </c>
      <c r="AA3" s="24" t="s">
        <v>33</v>
      </c>
      <c r="AB3" s="30" t="s">
        <v>211</v>
      </c>
      <c r="AC3" s="26" t="s">
        <v>41</v>
      </c>
      <c r="AD3" s="23">
        <v>45922.0</v>
      </c>
      <c r="AE3" s="11" t="s">
        <v>33</v>
      </c>
    </row>
    <row r="4" ht="22.5" customHeight="1">
      <c r="A4" s="5">
        <v>3.0</v>
      </c>
      <c r="B4" s="21">
        <v>1.0</v>
      </c>
      <c r="C4" s="5" t="s">
        <v>212</v>
      </c>
      <c r="D4" s="16" t="s">
        <v>30</v>
      </c>
      <c r="E4" s="7" t="str">
        <f>IFERROR(__xludf.DUMMYFUNCTION("IF(AND(F4 &gt; 0.3, F4 &lt; 0.5), SPARKLINE(F4,{""charttype"",""bar"";""color1"",""Gold"";""max"",1}),
IF(F4 = 1, SPARKLINE(F4,{""charttype"",""bar"";""color1"",""Lime"";""max"",1}),
IF(F4 &gt;= 0.5, SPARKLINE(F4,{""charttype"",""bar"";""color1"",""GreenYellow"";"&amp;"""max"",1}),
SPARKLINE(F4,{""charttype"",""bar"";""color1"",""DarkOrange"";""max"",1}))))"),"")</f>
        <v/>
      </c>
      <c r="F4" s="8">
        <f t="shared" si="1"/>
        <v>1</v>
      </c>
      <c r="G4" s="14" t="s">
        <v>213</v>
      </c>
      <c r="H4" s="5" t="s">
        <v>141</v>
      </c>
      <c r="I4" s="10">
        <v>45910.0</v>
      </c>
      <c r="J4" s="11" t="s">
        <v>33</v>
      </c>
      <c r="K4" s="10">
        <v>45910.0</v>
      </c>
      <c r="L4" s="27" t="s">
        <v>142</v>
      </c>
      <c r="M4" s="5" t="s">
        <v>34</v>
      </c>
      <c r="N4" s="10">
        <v>45911.0</v>
      </c>
      <c r="O4" s="11" t="s">
        <v>33</v>
      </c>
      <c r="P4" s="5" t="s">
        <v>141</v>
      </c>
      <c r="Q4" s="10">
        <v>45916.0</v>
      </c>
      <c r="R4" s="11" t="s">
        <v>33</v>
      </c>
      <c r="S4" s="5" t="s">
        <v>36</v>
      </c>
      <c r="T4" s="10">
        <v>45950.0</v>
      </c>
      <c r="U4" s="11" t="s">
        <v>33</v>
      </c>
      <c r="V4" s="5" t="s">
        <v>143</v>
      </c>
      <c r="W4" s="10"/>
      <c r="X4" s="11" t="s">
        <v>38</v>
      </c>
      <c r="Y4" s="5" t="s">
        <v>144</v>
      </c>
      <c r="Z4" s="23">
        <v>45919.0</v>
      </c>
      <c r="AA4" s="24" t="s">
        <v>33</v>
      </c>
      <c r="AB4" s="30" t="s">
        <v>214</v>
      </c>
      <c r="AC4" s="26" t="s">
        <v>41</v>
      </c>
      <c r="AD4" s="23">
        <v>45922.0</v>
      </c>
      <c r="AE4" s="11" t="s">
        <v>33</v>
      </c>
    </row>
    <row r="5" ht="22.5" customHeight="1">
      <c r="A5" s="5">
        <v>3.0</v>
      </c>
      <c r="B5" s="21">
        <v>1.0</v>
      </c>
      <c r="C5" s="5" t="s">
        <v>215</v>
      </c>
      <c r="D5" s="16" t="s">
        <v>30</v>
      </c>
      <c r="E5" s="7" t="str">
        <f>IFERROR(__xludf.DUMMYFUNCTION("IF(AND(F5 &gt; 0.3, F5 &lt; 0.5), SPARKLINE(F5,{""charttype"",""bar"";""color1"",""Gold"";""max"",1}),
IF(F5 = 1, SPARKLINE(F5,{""charttype"",""bar"";""color1"",""Lime"";""max"",1}),
IF(F5 &gt;= 0.5, SPARKLINE(F5,{""charttype"",""bar"";""color1"",""GreenYellow"";"&amp;"""max"",1}),
SPARKLINE(F5,{""charttype"",""bar"";""color1"",""DarkOrange"";""max"",1}))))"),"")</f>
        <v/>
      </c>
      <c r="F5" s="8">
        <f t="shared" si="1"/>
        <v>1</v>
      </c>
      <c r="G5" s="14" t="s">
        <v>216</v>
      </c>
      <c r="H5" s="5" t="s">
        <v>141</v>
      </c>
      <c r="I5" s="10">
        <v>45910.0</v>
      </c>
      <c r="J5" s="11" t="s">
        <v>33</v>
      </c>
      <c r="K5" s="10">
        <v>45910.0</v>
      </c>
      <c r="L5" s="27" t="s">
        <v>142</v>
      </c>
      <c r="M5" s="5" t="s">
        <v>34</v>
      </c>
      <c r="N5" s="10">
        <v>45911.0</v>
      </c>
      <c r="O5" s="11" t="s">
        <v>33</v>
      </c>
      <c r="P5" s="5" t="s">
        <v>141</v>
      </c>
      <c r="Q5" s="10">
        <v>45916.0</v>
      </c>
      <c r="R5" s="11" t="s">
        <v>33</v>
      </c>
      <c r="S5" s="5" t="s">
        <v>36</v>
      </c>
      <c r="T5" s="10">
        <v>45950.0</v>
      </c>
      <c r="U5" s="11" t="s">
        <v>33</v>
      </c>
      <c r="V5" s="5" t="s">
        <v>143</v>
      </c>
      <c r="W5" s="10"/>
      <c r="X5" s="11" t="s">
        <v>38</v>
      </c>
      <c r="Y5" s="5" t="s">
        <v>144</v>
      </c>
      <c r="Z5" s="23">
        <v>45919.0</v>
      </c>
      <c r="AA5" s="24" t="s">
        <v>33</v>
      </c>
      <c r="AB5" s="30" t="s">
        <v>217</v>
      </c>
      <c r="AC5" s="26" t="s">
        <v>41</v>
      </c>
      <c r="AD5" s="23">
        <v>45922.0</v>
      </c>
      <c r="AE5" s="11" t="s">
        <v>33</v>
      </c>
    </row>
    <row r="6" ht="22.5" customHeight="1">
      <c r="A6" s="5">
        <v>3.0</v>
      </c>
      <c r="B6" s="21">
        <v>1.0</v>
      </c>
      <c r="C6" s="5" t="s">
        <v>218</v>
      </c>
      <c r="D6" s="16" t="s">
        <v>30</v>
      </c>
      <c r="E6" s="7" t="str">
        <f>IFERROR(__xludf.DUMMYFUNCTION("IF(AND(F6 &gt; 0.3, F6 &lt; 0.5), SPARKLINE(F6,{""charttype"",""bar"";""color1"",""Gold"";""max"",1}),
IF(F6 = 1, SPARKLINE(F6,{""charttype"",""bar"";""color1"",""Lime"";""max"",1}),
IF(F6 &gt;= 0.5, SPARKLINE(F6,{""charttype"",""bar"";""color1"",""GreenYellow"";"&amp;"""max"",1}),
SPARKLINE(F6,{""charttype"",""bar"";""color1"",""DarkOrange"";""max"",1}))))"),"")</f>
        <v/>
      </c>
      <c r="F6" s="8">
        <f t="shared" si="1"/>
        <v>1</v>
      </c>
      <c r="G6" s="14" t="s">
        <v>219</v>
      </c>
      <c r="H6" s="5" t="s">
        <v>141</v>
      </c>
      <c r="I6" s="10">
        <v>45910.0</v>
      </c>
      <c r="J6" s="11" t="s">
        <v>33</v>
      </c>
      <c r="K6" s="10">
        <v>45910.0</v>
      </c>
      <c r="L6" s="27" t="s">
        <v>142</v>
      </c>
      <c r="M6" s="5" t="s">
        <v>34</v>
      </c>
      <c r="N6" s="10">
        <v>45911.0</v>
      </c>
      <c r="O6" s="11" t="s">
        <v>33</v>
      </c>
      <c r="P6" s="5" t="s">
        <v>141</v>
      </c>
      <c r="Q6" s="10">
        <v>45916.0</v>
      </c>
      <c r="R6" s="11" t="s">
        <v>33</v>
      </c>
      <c r="S6" s="5" t="s">
        <v>36</v>
      </c>
      <c r="T6" s="10">
        <v>45950.0</v>
      </c>
      <c r="U6" s="11" t="s">
        <v>33</v>
      </c>
      <c r="V6" s="5" t="s">
        <v>143</v>
      </c>
      <c r="W6" s="10"/>
      <c r="X6" s="11" t="s">
        <v>38</v>
      </c>
      <c r="Y6" s="5" t="s">
        <v>144</v>
      </c>
      <c r="Z6" s="23">
        <v>45919.0</v>
      </c>
      <c r="AA6" s="24" t="s">
        <v>33</v>
      </c>
      <c r="AB6" s="30" t="s">
        <v>220</v>
      </c>
      <c r="AC6" s="26" t="s">
        <v>41</v>
      </c>
      <c r="AD6" s="23">
        <v>45922.0</v>
      </c>
      <c r="AE6" s="11" t="s">
        <v>33</v>
      </c>
    </row>
    <row r="7" ht="22.5" customHeight="1">
      <c r="A7" s="5">
        <v>3.0</v>
      </c>
      <c r="B7" s="21">
        <v>1.0</v>
      </c>
      <c r="C7" s="5" t="s">
        <v>221</v>
      </c>
      <c r="D7" s="16" t="s">
        <v>30</v>
      </c>
      <c r="E7" s="7" t="str">
        <f>IFERROR(__xludf.DUMMYFUNCTION("IF(AND(F7 &gt; 0.3, F7 &lt; 0.5), SPARKLINE(F7,{""charttype"",""bar"";""color1"",""Gold"";""max"",1}),
IF(F7 = 1, SPARKLINE(F7,{""charttype"",""bar"";""color1"",""Lime"";""max"",1}),
IF(F7 &gt;= 0.5, SPARKLINE(F7,{""charttype"",""bar"";""color1"",""GreenYellow"";"&amp;"""max"",1}),
SPARKLINE(F7,{""charttype"",""bar"";""color1"",""DarkOrange"";""max"",1}))))"),"")</f>
        <v/>
      </c>
      <c r="F7" s="8">
        <f t="shared" si="1"/>
        <v>1</v>
      </c>
      <c r="G7" s="14" t="s">
        <v>222</v>
      </c>
      <c r="H7" s="5" t="s">
        <v>141</v>
      </c>
      <c r="I7" s="10">
        <v>45910.0</v>
      </c>
      <c r="J7" s="11" t="s">
        <v>33</v>
      </c>
      <c r="K7" s="10">
        <v>45910.0</v>
      </c>
      <c r="L7" s="27" t="s">
        <v>142</v>
      </c>
      <c r="M7" s="5" t="s">
        <v>34</v>
      </c>
      <c r="N7" s="10">
        <v>45911.0</v>
      </c>
      <c r="O7" s="11" t="s">
        <v>33</v>
      </c>
      <c r="P7" s="5" t="s">
        <v>141</v>
      </c>
      <c r="Q7" s="10">
        <v>45916.0</v>
      </c>
      <c r="R7" s="11" t="s">
        <v>33</v>
      </c>
      <c r="S7" s="5" t="s">
        <v>36</v>
      </c>
      <c r="T7" s="10">
        <v>45950.0</v>
      </c>
      <c r="U7" s="11" t="s">
        <v>33</v>
      </c>
      <c r="V7" s="5" t="s">
        <v>143</v>
      </c>
      <c r="W7" s="10"/>
      <c r="X7" s="11" t="s">
        <v>38</v>
      </c>
      <c r="Y7" s="5" t="s">
        <v>144</v>
      </c>
      <c r="Z7" s="23">
        <v>45919.0</v>
      </c>
      <c r="AA7" s="24" t="s">
        <v>33</v>
      </c>
      <c r="AB7" s="30" t="s">
        <v>223</v>
      </c>
      <c r="AC7" s="26" t="s">
        <v>41</v>
      </c>
      <c r="AD7" s="23">
        <v>45922.0</v>
      </c>
      <c r="AE7" s="11" t="s">
        <v>33</v>
      </c>
    </row>
    <row r="8" ht="22.5" customHeight="1">
      <c r="A8" s="5">
        <v>3.0</v>
      </c>
      <c r="B8" s="21">
        <v>1.0</v>
      </c>
      <c r="C8" s="5" t="s">
        <v>224</v>
      </c>
      <c r="D8" s="16" t="s">
        <v>49</v>
      </c>
      <c r="E8" s="7" t="str">
        <f>IFERROR(__xludf.DUMMYFUNCTION("IF(AND(F8 &gt; 0.3, F8 &lt; 0.5), SPARKLINE(F8,{""charttype"",""bar"";""color1"",""Gold"";""max"",1}),
IF(F8 = 1, SPARKLINE(F8,{""charttype"",""bar"";""color1"",""Lime"";""max"",1}),
IF(F8 &gt;= 0.5, SPARKLINE(F8,{""charttype"",""bar"";""color1"",""GreenYellow"";"&amp;"""max"",1}),
SPARKLINE(F8,{""charttype"",""bar"";""color1"",""DarkOrange"";""max"",1}))))"),"")</f>
        <v/>
      </c>
      <c r="F8" s="8">
        <f t="shared" si="1"/>
        <v>0.8</v>
      </c>
      <c r="G8" s="14" t="s">
        <v>225</v>
      </c>
      <c r="H8" s="5" t="s">
        <v>141</v>
      </c>
      <c r="I8" s="10">
        <v>45910.0</v>
      </c>
      <c r="J8" s="11" t="s">
        <v>33</v>
      </c>
      <c r="K8" s="10">
        <v>45910.0</v>
      </c>
      <c r="L8" s="27" t="s">
        <v>142</v>
      </c>
      <c r="M8" s="5" t="s">
        <v>34</v>
      </c>
      <c r="N8" s="10">
        <v>45911.0</v>
      </c>
      <c r="O8" s="11" t="s">
        <v>33</v>
      </c>
      <c r="P8" s="5" t="s">
        <v>141</v>
      </c>
      <c r="Q8" s="10"/>
      <c r="R8" s="11" t="s">
        <v>38</v>
      </c>
      <c r="S8" s="5" t="s">
        <v>36</v>
      </c>
      <c r="T8" s="10">
        <v>45950.0</v>
      </c>
      <c r="U8" s="20"/>
      <c r="V8" s="5" t="s">
        <v>143</v>
      </c>
      <c r="W8" s="10"/>
      <c r="X8" s="20"/>
      <c r="Y8" s="5" t="s">
        <v>51</v>
      </c>
      <c r="Z8" s="23">
        <v>45916.0</v>
      </c>
      <c r="AA8" s="11" t="s">
        <v>33</v>
      </c>
      <c r="AB8" s="9" t="s">
        <v>226</v>
      </c>
      <c r="AC8" s="5" t="s">
        <v>41</v>
      </c>
      <c r="AD8" s="23">
        <v>45917.0</v>
      </c>
      <c r="AE8" s="11" t="s">
        <v>33</v>
      </c>
    </row>
    <row r="9" ht="22.5" customHeight="1">
      <c r="A9" s="5">
        <v>3.0</v>
      </c>
      <c r="B9" s="21">
        <v>1.0</v>
      </c>
      <c r="C9" s="5" t="s">
        <v>227</v>
      </c>
      <c r="D9" s="16" t="s">
        <v>49</v>
      </c>
      <c r="E9" s="7" t="str">
        <f>IFERROR(__xludf.DUMMYFUNCTION("IF(AND(F9 &gt; 0.3, F9 &lt; 0.5), SPARKLINE(F9,{""charttype"",""bar"";""color1"",""Gold"";""max"",1}),
IF(F9 = 1, SPARKLINE(F9,{""charttype"",""bar"";""color1"",""Lime"";""max"",1}),
IF(F9 &gt;= 0.5, SPARKLINE(F9,{""charttype"",""bar"";""color1"",""GreenYellow"";"&amp;"""max"",1}),
SPARKLINE(F9,{""charttype"",""bar"";""color1"",""DarkOrange"";""max"",1}))))"),"")</f>
        <v/>
      </c>
      <c r="F9" s="8">
        <f t="shared" si="1"/>
        <v>0.8</v>
      </c>
      <c r="G9" s="14" t="s">
        <v>228</v>
      </c>
      <c r="H9" s="5" t="s">
        <v>141</v>
      </c>
      <c r="I9" s="10">
        <v>45910.0</v>
      </c>
      <c r="J9" s="11" t="s">
        <v>33</v>
      </c>
      <c r="K9" s="10">
        <v>45910.0</v>
      </c>
      <c r="L9" s="27" t="s">
        <v>142</v>
      </c>
      <c r="M9" s="5" t="s">
        <v>34</v>
      </c>
      <c r="N9" s="10">
        <v>45911.0</v>
      </c>
      <c r="O9" s="11" t="s">
        <v>33</v>
      </c>
      <c r="P9" s="5" t="s">
        <v>141</v>
      </c>
      <c r="Q9" s="10"/>
      <c r="R9" s="20"/>
      <c r="S9" s="5" t="s">
        <v>36</v>
      </c>
      <c r="T9" s="10">
        <v>45950.0</v>
      </c>
      <c r="U9" s="20"/>
      <c r="V9" s="5" t="s">
        <v>143</v>
      </c>
      <c r="W9" s="10"/>
      <c r="X9" s="20"/>
      <c r="Y9" s="5" t="s">
        <v>51</v>
      </c>
      <c r="Z9" s="23">
        <v>45916.0</v>
      </c>
      <c r="AA9" s="11" t="s">
        <v>33</v>
      </c>
      <c r="AB9" s="17" t="s">
        <v>229</v>
      </c>
      <c r="AC9" s="5" t="s">
        <v>41</v>
      </c>
      <c r="AD9" s="23">
        <v>45917.0</v>
      </c>
      <c r="AE9" s="11" t="s">
        <v>33</v>
      </c>
    </row>
    <row r="10" ht="22.5" customHeight="1">
      <c r="A10" s="5">
        <v>3.0</v>
      </c>
      <c r="B10" s="21">
        <v>1.0</v>
      </c>
      <c r="C10" s="5" t="s">
        <v>230</v>
      </c>
      <c r="D10" s="16" t="s">
        <v>49</v>
      </c>
      <c r="E10" s="7" t="str">
        <f>IFERROR(__xludf.DUMMYFUNCTION("IF(AND(F10 &gt; 0.3, F10 &lt; 0.5), SPARKLINE(F10,{""charttype"",""bar"";""color1"",""Gold"";""max"",1}),
IF(F10 = 1, SPARKLINE(F10,{""charttype"",""bar"";""color1"",""Lime"";""max"",1}),
IF(F10 &gt;= 0.5, SPARKLINE(F10,{""charttype"",""bar"";""color1"",""GreenYel"&amp;"low"";""max"",1}),
SPARKLINE(F10,{""charttype"",""bar"";""color1"",""DarkOrange"";""max"",1}))))"),"")</f>
        <v/>
      </c>
      <c r="F10" s="8">
        <f t="shared" si="1"/>
        <v>0.8</v>
      </c>
      <c r="G10" s="14" t="s">
        <v>231</v>
      </c>
      <c r="H10" s="5" t="s">
        <v>141</v>
      </c>
      <c r="I10" s="10">
        <v>45910.0</v>
      </c>
      <c r="J10" s="11" t="s">
        <v>33</v>
      </c>
      <c r="K10" s="10">
        <v>45910.0</v>
      </c>
      <c r="L10" s="27" t="s">
        <v>142</v>
      </c>
      <c r="M10" s="5" t="s">
        <v>34</v>
      </c>
      <c r="N10" s="10">
        <v>45911.0</v>
      </c>
      <c r="O10" s="11" t="s">
        <v>33</v>
      </c>
      <c r="P10" s="5" t="s">
        <v>141</v>
      </c>
      <c r="Q10" s="10"/>
      <c r="R10" s="20"/>
      <c r="S10" s="5" t="s">
        <v>36</v>
      </c>
      <c r="T10" s="10">
        <v>45950.0</v>
      </c>
      <c r="U10" s="20"/>
      <c r="V10" s="5" t="s">
        <v>143</v>
      </c>
      <c r="W10" s="10"/>
      <c r="X10" s="20"/>
      <c r="Y10" s="5" t="s">
        <v>51</v>
      </c>
      <c r="Z10" s="23">
        <v>45916.0</v>
      </c>
      <c r="AA10" s="11" t="s">
        <v>33</v>
      </c>
      <c r="AB10" s="14" t="s">
        <v>232</v>
      </c>
      <c r="AC10" s="5" t="s">
        <v>41</v>
      </c>
      <c r="AD10" s="23">
        <v>45917.0</v>
      </c>
      <c r="AE10" s="11" t="s">
        <v>33</v>
      </c>
    </row>
    <row r="11" ht="22.5" customHeight="1">
      <c r="A11" s="5">
        <v>3.0</v>
      </c>
      <c r="B11" s="21">
        <v>1.0</v>
      </c>
      <c r="C11" s="5" t="s">
        <v>233</v>
      </c>
      <c r="D11" s="16" t="s">
        <v>49</v>
      </c>
      <c r="E11" s="7" t="str">
        <f>IFERROR(__xludf.DUMMYFUNCTION("IF(AND(F11 &gt; 0.3, F11 &lt; 0.5), SPARKLINE(F11,{""charttype"",""bar"";""color1"",""Gold"";""max"",1}),
IF(F11 = 1, SPARKLINE(F11,{""charttype"",""bar"";""color1"",""Lime"";""max"",1}),
IF(F11 &gt;= 0.5, SPARKLINE(F11,{""charttype"",""bar"";""color1"",""GreenYel"&amp;"low"";""max"",1}),
SPARKLINE(F11,{""charttype"",""bar"";""color1"",""DarkOrange"";""max"",1}))))"),"")</f>
        <v/>
      </c>
      <c r="F11" s="8">
        <f t="shared" si="1"/>
        <v>0.8</v>
      </c>
      <c r="G11" s="14" t="s">
        <v>234</v>
      </c>
      <c r="H11" s="5" t="s">
        <v>141</v>
      </c>
      <c r="I11" s="10">
        <v>45910.0</v>
      </c>
      <c r="J11" s="11" t="s">
        <v>33</v>
      </c>
      <c r="K11" s="10">
        <v>45910.0</v>
      </c>
      <c r="L11" s="27" t="s">
        <v>142</v>
      </c>
      <c r="M11" s="5" t="s">
        <v>34</v>
      </c>
      <c r="N11" s="10">
        <v>45911.0</v>
      </c>
      <c r="O11" s="11" t="s">
        <v>33</v>
      </c>
      <c r="P11" s="5" t="s">
        <v>141</v>
      </c>
      <c r="Q11" s="10"/>
      <c r="R11" s="11" t="s">
        <v>38</v>
      </c>
      <c r="S11" s="5" t="s">
        <v>36</v>
      </c>
      <c r="T11" s="10">
        <v>45950.0</v>
      </c>
      <c r="U11" s="20"/>
      <c r="V11" s="5" t="s">
        <v>143</v>
      </c>
      <c r="W11" s="10"/>
      <c r="X11" s="20"/>
      <c r="Y11" s="5" t="s">
        <v>51</v>
      </c>
      <c r="Z11" s="23">
        <v>45916.0</v>
      </c>
      <c r="AA11" s="11" t="s">
        <v>33</v>
      </c>
      <c r="AB11" s="14" t="s">
        <v>235</v>
      </c>
      <c r="AC11" s="5" t="s">
        <v>41</v>
      </c>
      <c r="AD11" s="23">
        <v>45917.0</v>
      </c>
      <c r="AE11" s="11" t="s">
        <v>33</v>
      </c>
    </row>
    <row r="12" ht="22.5" customHeight="1">
      <c r="A12" s="5">
        <v>3.0</v>
      </c>
      <c r="B12" s="21">
        <v>1.0</v>
      </c>
      <c r="C12" s="5" t="s">
        <v>236</v>
      </c>
      <c r="D12" s="16" t="s">
        <v>49</v>
      </c>
      <c r="E12" s="7" t="str">
        <f>IFERROR(__xludf.DUMMYFUNCTION("IF(AND(F12 &gt; 0.3, F12 &lt; 0.5), SPARKLINE(F12,{""charttype"",""bar"";""color1"",""Gold"";""max"",1}),
IF(F12 = 1, SPARKLINE(F12,{""charttype"",""bar"";""color1"",""Lime"";""max"",1}),
IF(F12 &gt;= 0.5, SPARKLINE(F12,{""charttype"",""bar"";""color1"",""GreenYel"&amp;"low"";""max"",1}),
SPARKLINE(F12,{""charttype"",""bar"";""color1"",""DarkOrange"";""max"",1}))))"),"")</f>
        <v/>
      </c>
      <c r="F12" s="8">
        <f t="shared" si="1"/>
        <v>0.8</v>
      </c>
      <c r="G12" s="14" t="s">
        <v>237</v>
      </c>
      <c r="H12" s="5" t="s">
        <v>141</v>
      </c>
      <c r="I12" s="10">
        <v>45910.0</v>
      </c>
      <c r="J12" s="11" t="s">
        <v>33</v>
      </c>
      <c r="K12" s="10">
        <v>45910.0</v>
      </c>
      <c r="L12" s="27" t="s">
        <v>142</v>
      </c>
      <c r="M12" s="5" t="s">
        <v>34</v>
      </c>
      <c r="N12" s="10">
        <v>45911.0</v>
      </c>
      <c r="O12" s="11" t="s">
        <v>33</v>
      </c>
      <c r="P12" s="5" t="s">
        <v>141</v>
      </c>
      <c r="Q12" s="10"/>
      <c r="R12" s="11" t="s">
        <v>38</v>
      </c>
      <c r="S12" s="5" t="s">
        <v>36</v>
      </c>
      <c r="T12" s="10">
        <v>45950.0</v>
      </c>
      <c r="U12" s="20"/>
      <c r="V12" s="5" t="s">
        <v>143</v>
      </c>
      <c r="W12" s="10"/>
      <c r="X12" s="20"/>
      <c r="Y12" s="5" t="s">
        <v>51</v>
      </c>
      <c r="Z12" s="23">
        <v>45916.0</v>
      </c>
      <c r="AA12" s="11" t="s">
        <v>33</v>
      </c>
      <c r="AB12" s="14" t="s">
        <v>238</v>
      </c>
      <c r="AC12" s="5" t="s">
        <v>41</v>
      </c>
      <c r="AD12" s="23">
        <v>45917.0</v>
      </c>
      <c r="AE12" s="11" t="s">
        <v>33</v>
      </c>
    </row>
    <row r="13" ht="22.5" customHeight="1">
      <c r="A13" s="5">
        <v>3.0</v>
      </c>
      <c r="B13" s="21">
        <v>1.0</v>
      </c>
      <c r="C13" s="5" t="s">
        <v>239</v>
      </c>
      <c r="D13" s="16" t="s">
        <v>49</v>
      </c>
      <c r="E13" s="7" t="str">
        <f>IFERROR(__xludf.DUMMYFUNCTION("IF(AND(F13 &gt; 0.3, F13 &lt; 0.5), SPARKLINE(F13,{""charttype"",""bar"";""color1"",""Gold"";""max"",1}),
IF(F13 = 1, SPARKLINE(F13,{""charttype"",""bar"";""color1"",""Lime"";""max"",1}),
IF(F13 &gt;= 0.5, SPARKLINE(F13,{""charttype"",""bar"";""color1"",""GreenYel"&amp;"low"";""max"",1}),
SPARKLINE(F13,{""charttype"",""bar"";""color1"",""DarkOrange"";""max"",1}))))"),"")</f>
        <v/>
      </c>
      <c r="F13" s="8">
        <f t="shared" si="1"/>
        <v>0.8</v>
      </c>
      <c r="G13" s="14" t="s">
        <v>240</v>
      </c>
      <c r="H13" s="5" t="s">
        <v>141</v>
      </c>
      <c r="I13" s="10">
        <v>45910.0</v>
      </c>
      <c r="J13" s="11" t="s">
        <v>33</v>
      </c>
      <c r="K13" s="10">
        <v>45910.0</v>
      </c>
      <c r="L13" s="27" t="s">
        <v>142</v>
      </c>
      <c r="M13" s="5" t="s">
        <v>34</v>
      </c>
      <c r="N13" s="10">
        <v>45911.0</v>
      </c>
      <c r="O13" s="11" t="s">
        <v>33</v>
      </c>
      <c r="P13" s="5" t="s">
        <v>141</v>
      </c>
      <c r="Q13" s="10"/>
      <c r="R13" s="11" t="s">
        <v>38</v>
      </c>
      <c r="S13" s="5" t="s">
        <v>36</v>
      </c>
      <c r="T13" s="10">
        <v>45950.0</v>
      </c>
      <c r="U13" s="20"/>
      <c r="V13" s="5" t="s">
        <v>143</v>
      </c>
      <c r="W13" s="10"/>
      <c r="X13" s="20"/>
      <c r="Y13" s="5" t="s">
        <v>51</v>
      </c>
      <c r="Z13" s="23">
        <v>45916.0</v>
      </c>
      <c r="AA13" s="11" t="s">
        <v>33</v>
      </c>
      <c r="AB13" s="14" t="s">
        <v>241</v>
      </c>
      <c r="AC13" s="5" t="s">
        <v>41</v>
      </c>
      <c r="AD13" s="23">
        <v>45917.0</v>
      </c>
      <c r="AE13" s="11" t="s">
        <v>33</v>
      </c>
    </row>
    <row r="14" ht="22.5" customHeight="1">
      <c r="A14" s="5">
        <v>3.0</v>
      </c>
      <c r="B14" s="21">
        <v>1.0</v>
      </c>
      <c r="C14" s="5" t="s">
        <v>242</v>
      </c>
      <c r="D14" s="16" t="s">
        <v>60</v>
      </c>
      <c r="E14" s="7" t="str">
        <f>IFERROR(__xludf.DUMMYFUNCTION("IF(AND(F14 &gt; 0.3, F14 &lt; 0.5), SPARKLINE(F14,{""charttype"",""bar"";""color1"",""Gold"";""max"",1}),
IF(F14 = 1, SPARKLINE(F14,{""charttype"",""bar"";""color1"",""Lime"";""max"",1}),
IF(F14 &gt;= 0.5, SPARKLINE(F14,{""charttype"",""bar"";""color1"",""GreenYel"&amp;"low"";""max"",1}),
SPARKLINE(F14,{""charttype"",""bar"";""color1"",""DarkOrange"";""max"",1}))))"),"")</f>
        <v/>
      </c>
      <c r="F14" s="8">
        <f t="shared" si="1"/>
        <v>0.8</v>
      </c>
      <c r="G14" s="14" t="s">
        <v>243</v>
      </c>
      <c r="H14" s="5" t="s">
        <v>141</v>
      </c>
      <c r="I14" s="10">
        <v>45910.0</v>
      </c>
      <c r="J14" s="11" t="s">
        <v>33</v>
      </c>
      <c r="K14" s="10">
        <v>45910.0</v>
      </c>
      <c r="L14" s="27" t="s">
        <v>142</v>
      </c>
      <c r="M14" s="5" t="s">
        <v>34</v>
      </c>
      <c r="N14" s="10">
        <v>45911.0</v>
      </c>
      <c r="O14" s="11" t="s">
        <v>33</v>
      </c>
      <c r="P14" s="5" t="s">
        <v>141</v>
      </c>
      <c r="Q14" s="10"/>
      <c r="R14" s="11" t="s">
        <v>38</v>
      </c>
      <c r="S14" s="5" t="s">
        <v>36</v>
      </c>
      <c r="T14" s="10">
        <v>45950.0</v>
      </c>
      <c r="U14" s="20"/>
      <c r="V14" s="5" t="s">
        <v>143</v>
      </c>
      <c r="W14" s="10"/>
      <c r="X14" s="20"/>
      <c r="Y14" s="5" t="s">
        <v>51</v>
      </c>
      <c r="Z14" s="23">
        <v>45916.0</v>
      </c>
      <c r="AA14" s="11" t="s">
        <v>33</v>
      </c>
      <c r="AB14" s="14" t="s">
        <v>244</v>
      </c>
      <c r="AC14" s="5" t="s">
        <v>41</v>
      </c>
      <c r="AD14" s="23">
        <v>45917.0</v>
      </c>
      <c r="AE14" s="11" t="s">
        <v>33</v>
      </c>
    </row>
    <row r="15" ht="22.5" customHeight="1">
      <c r="A15" s="5">
        <v>3.0</v>
      </c>
      <c r="B15" s="21">
        <v>1.0</v>
      </c>
      <c r="C15" s="5" t="s">
        <v>245</v>
      </c>
      <c r="D15" s="16" t="s">
        <v>64</v>
      </c>
      <c r="E15" s="7" t="str">
        <f>IFERROR(__xludf.DUMMYFUNCTION("IF(AND(F15 &gt; 0.3, F15 &lt; 0.5), SPARKLINE(F15,{""charttype"",""bar"";""color1"",""Gold"";""max"",1}),
IF(F15 = 1, SPARKLINE(F15,{""charttype"",""bar"";""color1"",""Lime"";""max"",1}),
IF(F15 &gt;= 0.5, SPARKLINE(F15,{""charttype"",""bar"";""color1"",""GreenYel"&amp;"low"";""max"",1}),
SPARKLINE(F15,{""charttype"",""bar"";""color1"",""DarkOrange"";""max"",1}))))"),"")</f>
        <v/>
      </c>
      <c r="F15" s="8">
        <f t="shared" si="1"/>
        <v>0.8</v>
      </c>
      <c r="G15" s="14" t="s">
        <v>246</v>
      </c>
      <c r="H15" s="5" t="s">
        <v>141</v>
      </c>
      <c r="I15" s="10">
        <v>45910.0</v>
      </c>
      <c r="J15" s="11" t="s">
        <v>33</v>
      </c>
      <c r="K15" s="10">
        <v>45910.0</v>
      </c>
      <c r="L15" s="27" t="s">
        <v>142</v>
      </c>
      <c r="M15" s="5" t="s">
        <v>34</v>
      </c>
      <c r="N15" s="10">
        <v>45911.0</v>
      </c>
      <c r="O15" s="11" t="s">
        <v>33</v>
      </c>
      <c r="P15" s="5" t="s">
        <v>141</v>
      </c>
      <c r="Q15" s="10"/>
      <c r="R15" s="20"/>
      <c r="S15" s="5" t="s">
        <v>36</v>
      </c>
      <c r="T15" s="10">
        <v>45950.0</v>
      </c>
      <c r="U15" s="20"/>
      <c r="V15" s="5" t="s">
        <v>143</v>
      </c>
      <c r="W15" s="10"/>
      <c r="X15" s="20"/>
      <c r="Y15" s="5" t="s">
        <v>51</v>
      </c>
      <c r="Z15" s="23">
        <v>45916.0</v>
      </c>
      <c r="AA15" s="11" t="s">
        <v>33</v>
      </c>
      <c r="AB15" s="14" t="s">
        <v>247</v>
      </c>
      <c r="AC15" s="5" t="s">
        <v>41</v>
      </c>
      <c r="AD15" s="23">
        <v>45917.0</v>
      </c>
      <c r="AE15" s="11" t="s">
        <v>33</v>
      </c>
    </row>
    <row r="16" ht="22.5" customHeight="1">
      <c r="A16" s="5">
        <v>3.0</v>
      </c>
      <c r="B16" s="21">
        <v>1.0</v>
      </c>
      <c r="C16" s="5" t="s">
        <v>248</v>
      </c>
      <c r="D16" s="16" t="s">
        <v>169</v>
      </c>
      <c r="E16" s="7" t="str">
        <f>IFERROR(__xludf.DUMMYFUNCTION("IF(AND(F16 &gt; 0.3, F16 &lt; 0.5), SPARKLINE(F16,{""charttype"",""bar"";""color1"",""Gold"";""max"",1}),
IF(F16 = 1, SPARKLINE(F16,{""charttype"",""bar"";""color1"",""Lime"";""max"",1}),
IF(F16 &gt;= 0.5, SPARKLINE(F16,{""charttype"",""bar"";""color1"",""GreenYel"&amp;"low"";""max"",1}),
SPARKLINE(F16,{""charttype"",""bar"";""color1"",""DarkOrange"";""max"",1}))))"),"")</f>
        <v/>
      </c>
      <c r="F16" s="8">
        <f t="shared" si="1"/>
        <v>1</v>
      </c>
      <c r="G16" s="19"/>
      <c r="H16" s="5" t="s">
        <v>141</v>
      </c>
      <c r="I16" s="10">
        <v>45910.0</v>
      </c>
      <c r="J16" s="11" t="s">
        <v>33</v>
      </c>
      <c r="K16" s="10">
        <v>45910.0</v>
      </c>
      <c r="L16" s="27" t="s">
        <v>142</v>
      </c>
      <c r="M16" s="5" t="s">
        <v>34</v>
      </c>
      <c r="N16" s="10">
        <v>45911.0</v>
      </c>
      <c r="O16" s="11" t="s">
        <v>33</v>
      </c>
      <c r="P16" s="5" t="s">
        <v>141</v>
      </c>
      <c r="Q16" s="10">
        <v>45916.0</v>
      </c>
      <c r="R16" s="11" t="s">
        <v>33</v>
      </c>
      <c r="S16" s="5" t="s">
        <v>36</v>
      </c>
      <c r="T16" s="10">
        <v>45950.0</v>
      </c>
      <c r="U16" s="11" t="s">
        <v>33</v>
      </c>
      <c r="V16" s="5" t="s">
        <v>143</v>
      </c>
      <c r="W16" s="10"/>
      <c r="X16" s="11" t="s">
        <v>38</v>
      </c>
      <c r="Y16" s="5" t="s">
        <v>144</v>
      </c>
      <c r="Z16" s="23">
        <v>45919.0</v>
      </c>
      <c r="AA16" s="11" t="s">
        <v>33</v>
      </c>
      <c r="AB16" s="31" t="s">
        <v>249</v>
      </c>
      <c r="AC16" s="5" t="s">
        <v>41</v>
      </c>
      <c r="AD16" s="23">
        <v>45922.0</v>
      </c>
      <c r="AE16" s="11" t="s">
        <v>33</v>
      </c>
    </row>
    <row r="17" ht="22.5" customHeight="1">
      <c r="A17" s="5">
        <v>3.0</v>
      </c>
      <c r="B17" s="21">
        <v>1.0</v>
      </c>
      <c r="C17" s="5" t="s">
        <v>250</v>
      </c>
      <c r="D17" s="16" t="s">
        <v>72</v>
      </c>
      <c r="E17" s="7" t="str">
        <f>IFERROR(__xludf.DUMMYFUNCTION("IF(AND(F17 &gt; 0.3, F17 &lt; 0.5), SPARKLINE(F17,{""charttype"",""bar"";""color1"",""Gold"";""max"",1}),
IF(F17 = 1, SPARKLINE(F17,{""charttype"",""bar"";""color1"",""Lime"";""max"",1}),
IF(F17 &gt;= 0.5, SPARKLINE(F17,{""charttype"",""bar"";""color1"",""GreenYel"&amp;"low"";""max"",1}),
SPARKLINE(F17,{""charttype"",""bar"";""color1"",""DarkOrange"";""max"",1}))))"),"")</f>
        <v/>
      </c>
      <c r="F17" s="8">
        <f t="shared" si="1"/>
        <v>0.8</v>
      </c>
      <c r="G17" s="14" t="s">
        <v>251</v>
      </c>
      <c r="H17" s="5" t="s">
        <v>141</v>
      </c>
      <c r="I17" s="10">
        <v>45910.0</v>
      </c>
      <c r="J17" s="11" t="s">
        <v>33</v>
      </c>
      <c r="K17" s="10">
        <v>45910.0</v>
      </c>
      <c r="L17" s="27" t="s">
        <v>142</v>
      </c>
      <c r="M17" s="5" t="s">
        <v>34</v>
      </c>
      <c r="N17" s="10">
        <v>45911.0</v>
      </c>
      <c r="O17" s="11" t="s">
        <v>33</v>
      </c>
      <c r="P17" s="5" t="s">
        <v>141</v>
      </c>
      <c r="Q17" s="10"/>
      <c r="R17" s="20"/>
      <c r="S17" s="5" t="s">
        <v>36</v>
      </c>
      <c r="T17" s="10">
        <v>45950.0</v>
      </c>
      <c r="U17" s="20"/>
      <c r="V17" s="5" t="s">
        <v>143</v>
      </c>
      <c r="W17" s="10"/>
      <c r="X17" s="20"/>
      <c r="Y17" s="5" t="s">
        <v>51</v>
      </c>
      <c r="Z17" s="23">
        <v>45916.0</v>
      </c>
      <c r="AA17" s="11" t="s">
        <v>33</v>
      </c>
      <c r="AB17" s="14" t="s">
        <v>252</v>
      </c>
      <c r="AC17" s="5" t="s">
        <v>41</v>
      </c>
      <c r="AD17" s="23">
        <v>45917.0</v>
      </c>
      <c r="AE17" s="11" t="s">
        <v>33</v>
      </c>
    </row>
    <row r="18" ht="22.5" customHeight="1">
      <c r="A18" s="5">
        <v>3.0</v>
      </c>
      <c r="B18" s="21">
        <v>1.0</v>
      </c>
      <c r="C18" s="5" t="s">
        <v>253</v>
      </c>
      <c r="D18" s="16" t="s">
        <v>68</v>
      </c>
      <c r="E18" s="7" t="str">
        <f>IFERROR(__xludf.DUMMYFUNCTION("IF(AND(F18 &gt; 0.3, F18 &lt; 0.5), SPARKLINE(F18,{""charttype"",""bar"";""color1"",""Gold"";""max"",1}),
IF(F18 = 1, SPARKLINE(F18,{""charttype"",""bar"";""color1"",""Lime"";""max"",1}),
IF(F18 &gt;= 0.5, SPARKLINE(F18,{""charttype"",""bar"";""color1"",""GreenYel"&amp;"low"";""max"",1}),
SPARKLINE(F18,{""charttype"",""bar"";""color1"",""DarkOrange"";""max"",1}))))"),"")</f>
        <v/>
      </c>
      <c r="F18" s="8">
        <f t="shared" si="1"/>
        <v>0.8</v>
      </c>
      <c r="G18" s="14" t="s">
        <v>254</v>
      </c>
      <c r="H18" s="5" t="s">
        <v>141</v>
      </c>
      <c r="I18" s="10">
        <v>45910.0</v>
      </c>
      <c r="J18" s="11" t="s">
        <v>33</v>
      </c>
      <c r="K18" s="10">
        <v>45910.0</v>
      </c>
      <c r="L18" s="27" t="s">
        <v>142</v>
      </c>
      <c r="M18" s="5" t="s">
        <v>34</v>
      </c>
      <c r="N18" s="10">
        <v>45911.0</v>
      </c>
      <c r="O18" s="11" t="s">
        <v>33</v>
      </c>
      <c r="P18" s="5" t="s">
        <v>141</v>
      </c>
      <c r="Q18" s="10"/>
      <c r="R18" s="20"/>
      <c r="S18" s="5" t="s">
        <v>36</v>
      </c>
      <c r="T18" s="10">
        <v>45950.0</v>
      </c>
      <c r="U18" s="11" t="s">
        <v>38</v>
      </c>
      <c r="V18" s="5" t="s">
        <v>143</v>
      </c>
      <c r="W18" s="10"/>
      <c r="X18" s="20"/>
      <c r="Y18" s="5" t="s">
        <v>51</v>
      </c>
      <c r="Z18" s="23">
        <v>45916.0</v>
      </c>
      <c r="AA18" s="11" t="s">
        <v>33</v>
      </c>
      <c r="AB18" s="32" t="s">
        <v>255</v>
      </c>
      <c r="AC18" s="5" t="s">
        <v>41</v>
      </c>
      <c r="AD18" s="23">
        <v>45917.0</v>
      </c>
      <c r="AE18" s="11" t="s">
        <v>33</v>
      </c>
    </row>
    <row r="19" ht="22.5" customHeight="1">
      <c r="A19" s="5">
        <v>3.0</v>
      </c>
      <c r="B19" s="21">
        <v>2.0</v>
      </c>
      <c r="C19" s="5" t="s">
        <v>256</v>
      </c>
      <c r="D19" s="16" t="s">
        <v>30</v>
      </c>
      <c r="E19" s="7" t="str">
        <f>IFERROR(__xludf.DUMMYFUNCTION("IF(AND(F19 &gt; 0.3, F19 &lt; 0.5), SPARKLINE(F19,{""charttype"",""bar"";""color1"",""Gold"";""max"",1}),
IF(F19 = 1, SPARKLINE(F19,{""charttype"",""bar"";""color1"",""Lime"";""max"",1}),
IF(F19 &gt;= 0.5, SPARKLINE(F19,{""charttype"",""bar"";""color1"",""GreenYel"&amp;"low"";""max"",1}),
SPARKLINE(F19,{""charttype"",""bar"";""color1"",""DarkOrange"";""max"",1}))))"),"")</f>
        <v/>
      </c>
      <c r="F19" s="8">
        <f t="shared" si="1"/>
        <v>0.8333333333</v>
      </c>
      <c r="G19" s="14" t="s">
        <v>257</v>
      </c>
      <c r="H19" s="5" t="s">
        <v>141</v>
      </c>
      <c r="I19" s="10">
        <v>45915.0</v>
      </c>
      <c r="J19" s="11" t="s">
        <v>33</v>
      </c>
      <c r="K19" s="10">
        <v>45915.0</v>
      </c>
      <c r="L19" s="27" t="s">
        <v>142</v>
      </c>
      <c r="M19" s="5" t="s">
        <v>34</v>
      </c>
      <c r="N19" s="10">
        <v>45916.0</v>
      </c>
      <c r="O19" s="11" t="s">
        <v>33</v>
      </c>
      <c r="P19" s="5" t="s">
        <v>141</v>
      </c>
      <c r="Q19" s="10">
        <v>45919.0</v>
      </c>
      <c r="R19" s="11" t="s">
        <v>33</v>
      </c>
      <c r="S19" s="5" t="s">
        <v>36</v>
      </c>
      <c r="T19" s="10">
        <v>45950.0</v>
      </c>
      <c r="U19" s="20"/>
      <c r="V19" s="5" t="s">
        <v>143</v>
      </c>
      <c r="W19" s="10"/>
      <c r="X19" s="11" t="s">
        <v>38</v>
      </c>
      <c r="Y19" s="5" t="s">
        <v>144</v>
      </c>
      <c r="Z19" s="23">
        <v>45924.0</v>
      </c>
      <c r="AA19" s="24" t="s">
        <v>33</v>
      </c>
      <c r="AB19" s="30" t="s">
        <v>258</v>
      </c>
      <c r="AC19" s="26" t="s">
        <v>41</v>
      </c>
      <c r="AD19" s="23">
        <v>45925.0</v>
      </c>
      <c r="AE19" s="11" t="s">
        <v>33</v>
      </c>
    </row>
    <row r="20" ht="22.5" customHeight="1">
      <c r="A20" s="5">
        <v>3.0</v>
      </c>
      <c r="B20" s="21">
        <v>2.0</v>
      </c>
      <c r="C20" s="5" t="s">
        <v>259</v>
      </c>
      <c r="D20" s="16" t="s">
        <v>30</v>
      </c>
      <c r="E20" s="7" t="str">
        <f>IFERROR(__xludf.DUMMYFUNCTION("IF(AND(F20 &gt; 0.3, F20 &lt; 0.5), SPARKLINE(F20,{""charttype"",""bar"";""color1"",""Gold"";""max"",1}),
IF(F20 = 1, SPARKLINE(F20,{""charttype"",""bar"";""color1"",""Lime"";""max"",1}),
IF(F20 &gt;= 0.5, SPARKLINE(F20,{""charttype"",""bar"";""color1"",""GreenYel"&amp;"low"";""max"",1}),
SPARKLINE(F20,{""charttype"",""bar"";""color1"",""DarkOrange"";""max"",1}))))"),"")</f>
        <v/>
      </c>
      <c r="F20" s="8">
        <f t="shared" si="1"/>
        <v>0.8333333333</v>
      </c>
      <c r="G20" s="14" t="s">
        <v>260</v>
      </c>
      <c r="H20" s="5" t="s">
        <v>141</v>
      </c>
      <c r="I20" s="10">
        <v>45915.0</v>
      </c>
      <c r="J20" s="11" t="s">
        <v>33</v>
      </c>
      <c r="K20" s="10">
        <v>45915.0</v>
      </c>
      <c r="L20" s="27" t="s">
        <v>142</v>
      </c>
      <c r="M20" s="5" t="s">
        <v>34</v>
      </c>
      <c r="N20" s="10">
        <v>45916.0</v>
      </c>
      <c r="O20" s="11" t="s">
        <v>33</v>
      </c>
      <c r="P20" s="5" t="s">
        <v>141</v>
      </c>
      <c r="Q20" s="10">
        <v>45919.0</v>
      </c>
      <c r="R20" s="11" t="s">
        <v>33</v>
      </c>
      <c r="S20" s="5" t="s">
        <v>36</v>
      </c>
      <c r="T20" s="10">
        <v>45950.0</v>
      </c>
      <c r="U20" s="20"/>
      <c r="V20" s="5" t="s">
        <v>143</v>
      </c>
      <c r="W20" s="10"/>
      <c r="X20" s="11" t="s">
        <v>38</v>
      </c>
      <c r="Y20" s="5" t="s">
        <v>144</v>
      </c>
      <c r="Z20" s="23">
        <v>45924.0</v>
      </c>
      <c r="AA20" s="24" t="s">
        <v>33</v>
      </c>
      <c r="AB20" s="30" t="s">
        <v>261</v>
      </c>
      <c r="AC20" s="26" t="s">
        <v>41</v>
      </c>
      <c r="AD20" s="23">
        <v>45925.0</v>
      </c>
      <c r="AE20" s="11" t="s">
        <v>33</v>
      </c>
    </row>
    <row r="21" ht="22.5" customHeight="1">
      <c r="A21" s="5">
        <v>3.0</v>
      </c>
      <c r="B21" s="21">
        <v>2.0</v>
      </c>
      <c r="C21" s="5" t="s">
        <v>262</v>
      </c>
      <c r="D21" s="16" t="s">
        <v>30</v>
      </c>
      <c r="E21" s="7" t="str">
        <f>IFERROR(__xludf.DUMMYFUNCTION("IF(AND(F21 &gt; 0.3, F21 &lt; 0.5), SPARKLINE(F21,{""charttype"",""bar"";""color1"",""Gold"";""max"",1}),
IF(F21 = 1, SPARKLINE(F21,{""charttype"",""bar"";""color1"",""Lime"";""max"",1}),
IF(F21 &gt;= 0.5, SPARKLINE(F21,{""charttype"",""bar"";""color1"",""GreenYel"&amp;"low"";""max"",1}),
SPARKLINE(F21,{""charttype"",""bar"";""color1"",""DarkOrange"";""max"",1}))))"),"")</f>
        <v/>
      </c>
      <c r="F21" s="8">
        <f t="shared" si="1"/>
        <v>0.8333333333</v>
      </c>
      <c r="G21" s="14" t="s">
        <v>263</v>
      </c>
      <c r="H21" s="5" t="s">
        <v>141</v>
      </c>
      <c r="I21" s="10">
        <v>45915.0</v>
      </c>
      <c r="J21" s="11" t="s">
        <v>33</v>
      </c>
      <c r="K21" s="10">
        <v>45915.0</v>
      </c>
      <c r="L21" s="27" t="s">
        <v>142</v>
      </c>
      <c r="M21" s="5" t="s">
        <v>34</v>
      </c>
      <c r="N21" s="10">
        <v>45916.0</v>
      </c>
      <c r="O21" s="11" t="s">
        <v>33</v>
      </c>
      <c r="P21" s="5" t="s">
        <v>141</v>
      </c>
      <c r="Q21" s="10">
        <v>45919.0</v>
      </c>
      <c r="R21" s="11" t="s">
        <v>33</v>
      </c>
      <c r="S21" s="5" t="s">
        <v>36</v>
      </c>
      <c r="T21" s="10">
        <v>45950.0</v>
      </c>
      <c r="U21" s="20"/>
      <c r="V21" s="5" t="s">
        <v>143</v>
      </c>
      <c r="W21" s="10"/>
      <c r="X21" s="11" t="s">
        <v>38</v>
      </c>
      <c r="Y21" s="5" t="s">
        <v>144</v>
      </c>
      <c r="Z21" s="23">
        <v>45924.0</v>
      </c>
      <c r="AA21" s="24" t="s">
        <v>33</v>
      </c>
      <c r="AB21" s="30" t="s">
        <v>264</v>
      </c>
      <c r="AC21" s="26" t="s">
        <v>41</v>
      </c>
      <c r="AD21" s="23">
        <v>45925.0</v>
      </c>
      <c r="AE21" s="11" t="s">
        <v>33</v>
      </c>
    </row>
    <row r="22" ht="22.5" customHeight="1">
      <c r="A22" s="5">
        <v>3.0</v>
      </c>
      <c r="B22" s="21">
        <v>2.0</v>
      </c>
      <c r="C22" s="5" t="s">
        <v>265</v>
      </c>
      <c r="D22" s="16" t="s">
        <v>30</v>
      </c>
      <c r="E22" s="7" t="str">
        <f>IFERROR(__xludf.DUMMYFUNCTION("IF(AND(F22 &gt; 0.3, F22 &lt; 0.5), SPARKLINE(F22,{""charttype"",""bar"";""color1"",""Gold"";""max"",1}),
IF(F22 = 1, SPARKLINE(F22,{""charttype"",""bar"";""color1"",""Lime"";""max"",1}),
IF(F22 &gt;= 0.5, SPARKLINE(F22,{""charttype"",""bar"";""color1"",""GreenYel"&amp;"low"";""max"",1}),
SPARKLINE(F22,{""charttype"",""bar"";""color1"",""DarkOrange"";""max"",1}))))"),"")</f>
        <v/>
      </c>
      <c r="F22" s="8">
        <f t="shared" si="1"/>
        <v>0.8333333333</v>
      </c>
      <c r="G22" s="14" t="s">
        <v>266</v>
      </c>
      <c r="H22" s="5" t="s">
        <v>141</v>
      </c>
      <c r="I22" s="10">
        <v>45915.0</v>
      </c>
      <c r="J22" s="11" t="s">
        <v>33</v>
      </c>
      <c r="K22" s="10">
        <v>45915.0</v>
      </c>
      <c r="L22" s="27" t="s">
        <v>142</v>
      </c>
      <c r="M22" s="5" t="s">
        <v>34</v>
      </c>
      <c r="N22" s="10">
        <v>45916.0</v>
      </c>
      <c r="O22" s="11" t="s">
        <v>33</v>
      </c>
      <c r="P22" s="5" t="s">
        <v>141</v>
      </c>
      <c r="Q22" s="10">
        <v>45919.0</v>
      </c>
      <c r="R22" s="11" t="s">
        <v>33</v>
      </c>
      <c r="S22" s="5" t="s">
        <v>36</v>
      </c>
      <c r="T22" s="10">
        <v>45950.0</v>
      </c>
      <c r="U22" s="20"/>
      <c r="V22" s="5" t="s">
        <v>143</v>
      </c>
      <c r="W22" s="10"/>
      <c r="X22" s="11" t="s">
        <v>38</v>
      </c>
      <c r="Y22" s="5" t="s">
        <v>144</v>
      </c>
      <c r="Z22" s="23">
        <v>45924.0</v>
      </c>
      <c r="AA22" s="24" t="s">
        <v>33</v>
      </c>
      <c r="AB22" s="30" t="s">
        <v>267</v>
      </c>
      <c r="AC22" s="26" t="s">
        <v>41</v>
      </c>
      <c r="AD22" s="23">
        <v>45925.0</v>
      </c>
      <c r="AE22" s="11" t="s">
        <v>33</v>
      </c>
    </row>
    <row r="23" ht="22.5" customHeight="1">
      <c r="A23" s="5">
        <v>3.0</v>
      </c>
      <c r="B23" s="21">
        <v>2.0</v>
      </c>
      <c r="C23" s="5" t="s">
        <v>268</v>
      </c>
      <c r="D23" s="16" t="s">
        <v>30</v>
      </c>
      <c r="E23" s="7" t="str">
        <f>IFERROR(__xludf.DUMMYFUNCTION("IF(AND(F23 &gt; 0.3, F23 &lt; 0.5), SPARKLINE(F23,{""charttype"",""bar"";""color1"",""Gold"";""max"",1}),
IF(F23 = 1, SPARKLINE(F23,{""charttype"",""bar"";""color1"",""Lime"";""max"",1}),
IF(F23 &gt;= 0.5, SPARKLINE(F23,{""charttype"",""bar"";""color1"",""GreenYel"&amp;"low"";""max"",1}),
SPARKLINE(F23,{""charttype"",""bar"";""color1"",""DarkOrange"";""max"",1}))))"),"")</f>
        <v/>
      </c>
      <c r="F23" s="8">
        <f t="shared" si="1"/>
        <v>0.8333333333</v>
      </c>
      <c r="G23" s="14" t="s">
        <v>269</v>
      </c>
      <c r="H23" s="5" t="s">
        <v>141</v>
      </c>
      <c r="I23" s="10">
        <v>45915.0</v>
      </c>
      <c r="J23" s="11" t="s">
        <v>33</v>
      </c>
      <c r="K23" s="10">
        <v>45915.0</v>
      </c>
      <c r="L23" s="27" t="s">
        <v>142</v>
      </c>
      <c r="M23" s="5" t="s">
        <v>34</v>
      </c>
      <c r="N23" s="10">
        <v>45916.0</v>
      </c>
      <c r="O23" s="11" t="s">
        <v>33</v>
      </c>
      <c r="P23" s="5" t="s">
        <v>141</v>
      </c>
      <c r="Q23" s="10">
        <v>45919.0</v>
      </c>
      <c r="R23" s="11" t="s">
        <v>33</v>
      </c>
      <c r="S23" s="5" t="s">
        <v>36</v>
      </c>
      <c r="T23" s="10">
        <v>45950.0</v>
      </c>
      <c r="U23" s="33" t="s">
        <v>18</v>
      </c>
      <c r="V23" s="5" t="s">
        <v>143</v>
      </c>
      <c r="W23" s="10"/>
      <c r="X23" s="11" t="s">
        <v>38</v>
      </c>
      <c r="Y23" s="5" t="s">
        <v>144</v>
      </c>
      <c r="Z23" s="23">
        <v>45924.0</v>
      </c>
      <c r="AA23" s="24" t="s">
        <v>33</v>
      </c>
      <c r="AB23" s="30" t="s">
        <v>270</v>
      </c>
      <c r="AC23" s="26" t="s">
        <v>41</v>
      </c>
      <c r="AD23" s="23">
        <v>45925.0</v>
      </c>
      <c r="AE23" s="11" t="s">
        <v>33</v>
      </c>
    </row>
    <row r="24" ht="22.5" customHeight="1">
      <c r="A24" s="5">
        <v>3.0</v>
      </c>
      <c r="B24" s="21">
        <v>2.0</v>
      </c>
      <c r="C24" s="5" t="s">
        <v>271</v>
      </c>
      <c r="D24" s="16" t="s">
        <v>49</v>
      </c>
      <c r="E24" s="7" t="str">
        <f>IFERROR(__xludf.DUMMYFUNCTION("IF(AND(F24 &gt; 0.3, F24 &lt; 0.5), SPARKLINE(F24,{""charttype"",""bar"";""color1"",""Gold"";""max"",1}),
IF(F24 = 1, SPARKLINE(F24,{""charttype"",""bar"";""color1"",""Lime"";""max"",1}),
IF(F24 &gt;= 0.5, SPARKLINE(F24,{""charttype"",""bar"";""color1"",""GreenYel"&amp;"low"";""max"",1}),
SPARKLINE(F24,{""charttype"",""bar"";""color1"",""DarkOrange"";""max"",1}))))"),"")</f>
        <v/>
      </c>
      <c r="F24" s="8">
        <f t="shared" si="1"/>
        <v>0.8</v>
      </c>
      <c r="G24" s="14" t="s">
        <v>272</v>
      </c>
      <c r="H24" s="5" t="s">
        <v>141</v>
      </c>
      <c r="I24" s="10">
        <v>45915.0</v>
      </c>
      <c r="J24" s="11" t="s">
        <v>33</v>
      </c>
      <c r="K24" s="10">
        <v>45915.0</v>
      </c>
      <c r="L24" s="22" t="s">
        <v>142</v>
      </c>
      <c r="M24" s="5" t="s">
        <v>34</v>
      </c>
      <c r="N24" s="10">
        <v>45916.0</v>
      </c>
      <c r="O24" s="11" t="s">
        <v>33</v>
      </c>
      <c r="P24" s="5" t="s">
        <v>141</v>
      </c>
      <c r="Q24" s="10"/>
      <c r="R24" s="11" t="s">
        <v>38</v>
      </c>
      <c r="S24" s="5" t="s">
        <v>36</v>
      </c>
      <c r="T24" s="10">
        <v>45950.0</v>
      </c>
      <c r="U24" s="20"/>
      <c r="V24" s="5" t="s">
        <v>143</v>
      </c>
      <c r="W24" s="10"/>
      <c r="X24" s="20"/>
      <c r="Y24" s="5" t="s">
        <v>51</v>
      </c>
      <c r="Z24" s="23">
        <v>45919.0</v>
      </c>
      <c r="AA24" s="11" t="s">
        <v>33</v>
      </c>
      <c r="AB24" s="9" t="s">
        <v>273</v>
      </c>
      <c r="AC24" s="5" t="s">
        <v>41</v>
      </c>
      <c r="AD24" s="23">
        <v>45922.0</v>
      </c>
      <c r="AE24" s="11" t="s">
        <v>33</v>
      </c>
    </row>
    <row r="25" ht="22.5" customHeight="1">
      <c r="A25" s="5">
        <v>3.0</v>
      </c>
      <c r="B25" s="21">
        <v>2.0</v>
      </c>
      <c r="C25" s="5" t="s">
        <v>274</v>
      </c>
      <c r="D25" s="16" t="s">
        <v>49</v>
      </c>
      <c r="E25" s="7" t="str">
        <f>IFERROR(__xludf.DUMMYFUNCTION("IF(AND(F25 &gt; 0.3, F25 &lt; 0.5), SPARKLINE(F25,{""charttype"",""bar"";""color1"",""Gold"";""max"",1}),
IF(F25 = 1, SPARKLINE(F25,{""charttype"",""bar"";""color1"",""Lime"";""max"",1}),
IF(F25 &gt;= 0.5, SPARKLINE(F25,{""charttype"",""bar"";""color1"",""GreenYel"&amp;"low"";""max"",1}),
SPARKLINE(F25,{""charttype"",""bar"";""color1"",""DarkOrange"";""max"",1}))))"),"")</f>
        <v/>
      </c>
      <c r="F25" s="8">
        <f t="shared" si="1"/>
        <v>0.8</v>
      </c>
      <c r="G25" s="14" t="s">
        <v>275</v>
      </c>
      <c r="H25" s="5" t="s">
        <v>141</v>
      </c>
      <c r="I25" s="10">
        <v>45915.0</v>
      </c>
      <c r="J25" s="11" t="s">
        <v>33</v>
      </c>
      <c r="K25" s="10">
        <v>45915.0</v>
      </c>
      <c r="L25" s="27" t="s">
        <v>142</v>
      </c>
      <c r="M25" s="5" t="s">
        <v>34</v>
      </c>
      <c r="N25" s="10">
        <v>45916.0</v>
      </c>
      <c r="O25" s="11" t="s">
        <v>33</v>
      </c>
      <c r="P25" s="5" t="s">
        <v>141</v>
      </c>
      <c r="Q25" s="10"/>
      <c r="R25" s="11" t="s">
        <v>38</v>
      </c>
      <c r="S25" s="5" t="s">
        <v>36</v>
      </c>
      <c r="T25" s="10">
        <v>45950.0</v>
      </c>
      <c r="U25" s="20"/>
      <c r="V25" s="5" t="s">
        <v>143</v>
      </c>
      <c r="W25" s="10"/>
      <c r="X25" s="20"/>
      <c r="Y25" s="5" t="s">
        <v>51</v>
      </c>
      <c r="Z25" s="23">
        <v>45919.0</v>
      </c>
      <c r="AA25" s="11" t="s">
        <v>33</v>
      </c>
      <c r="AB25" s="14" t="s">
        <v>276</v>
      </c>
      <c r="AC25" s="5" t="s">
        <v>41</v>
      </c>
      <c r="AD25" s="23">
        <v>45922.0</v>
      </c>
      <c r="AE25" s="11" t="s">
        <v>33</v>
      </c>
    </row>
    <row r="26" ht="22.5" customHeight="1">
      <c r="A26" s="5">
        <v>3.0</v>
      </c>
      <c r="B26" s="21">
        <v>2.0</v>
      </c>
      <c r="C26" s="5" t="s">
        <v>277</v>
      </c>
      <c r="D26" s="16" t="s">
        <v>49</v>
      </c>
      <c r="E26" s="7" t="str">
        <f>IFERROR(__xludf.DUMMYFUNCTION("IF(AND(F26 &gt; 0.3, F26 &lt; 0.5), SPARKLINE(F26,{""charttype"",""bar"";""color1"",""Gold"";""max"",1}),
IF(F26 = 1, SPARKLINE(F26,{""charttype"",""bar"";""color1"",""Lime"";""max"",1}),
IF(F26 &gt;= 0.5, SPARKLINE(F26,{""charttype"",""bar"";""color1"",""GreenYel"&amp;"low"";""max"",1}),
SPARKLINE(F26,{""charttype"",""bar"";""color1"",""DarkOrange"";""max"",1}))))"),"")</f>
        <v/>
      </c>
      <c r="F26" s="8">
        <f t="shared" si="1"/>
        <v>0.8</v>
      </c>
      <c r="G26" s="14" t="s">
        <v>278</v>
      </c>
      <c r="H26" s="5" t="s">
        <v>141</v>
      </c>
      <c r="I26" s="10">
        <v>45915.0</v>
      </c>
      <c r="J26" s="11" t="s">
        <v>33</v>
      </c>
      <c r="K26" s="10">
        <v>45915.0</v>
      </c>
      <c r="L26" s="27" t="s">
        <v>142</v>
      </c>
      <c r="M26" s="5" t="s">
        <v>34</v>
      </c>
      <c r="N26" s="10">
        <v>45916.0</v>
      </c>
      <c r="O26" s="11" t="s">
        <v>33</v>
      </c>
      <c r="P26" s="5" t="s">
        <v>141</v>
      </c>
      <c r="Q26" s="10"/>
      <c r="R26" s="11" t="s">
        <v>38</v>
      </c>
      <c r="S26" s="5" t="s">
        <v>36</v>
      </c>
      <c r="T26" s="10">
        <v>45950.0</v>
      </c>
      <c r="U26" s="20"/>
      <c r="V26" s="5" t="s">
        <v>143</v>
      </c>
      <c r="W26" s="10"/>
      <c r="X26" s="20"/>
      <c r="Y26" s="5" t="s">
        <v>51</v>
      </c>
      <c r="Z26" s="23">
        <v>45919.0</v>
      </c>
      <c r="AA26" s="11" t="s">
        <v>33</v>
      </c>
      <c r="AB26" s="14" t="s">
        <v>279</v>
      </c>
      <c r="AC26" s="5" t="s">
        <v>41</v>
      </c>
      <c r="AD26" s="23">
        <v>45922.0</v>
      </c>
      <c r="AE26" s="11" t="s">
        <v>33</v>
      </c>
    </row>
    <row r="27" ht="22.5" customHeight="1">
      <c r="A27" s="5">
        <v>3.0</v>
      </c>
      <c r="B27" s="21">
        <v>2.0</v>
      </c>
      <c r="C27" s="5" t="s">
        <v>280</v>
      </c>
      <c r="D27" s="16" t="s">
        <v>49</v>
      </c>
      <c r="E27" s="7" t="str">
        <f>IFERROR(__xludf.DUMMYFUNCTION("IF(AND(F27 &gt; 0.3, F27 &lt; 0.5), SPARKLINE(F27,{""charttype"",""bar"";""color1"",""Gold"";""max"",1}),
IF(F27 = 1, SPARKLINE(F27,{""charttype"",""bar"";""color1"",""Lime"";""max"",1}),
IF(F27 &gt;= 0.5, SPARKLINE(F27,{""charttype"",""bar"";""color1"",""GreenYel"&amp;"low"";""max"",1}),
SPARKLINE(F27,{""charttype"",""bar"";""color1"",""DarkOrange"";""max"",1}))))"),"")</f>
        <v/>
      </c>
      <c r="F27" s="8">
        <f t="shared" si="1"/>
        <v>0.8</v>
      </c>
      <c r="G27" s="14" t="s">
        <v>281</v>
      </c>
      <c r="H27" s="5" t="s">
        <v>141</v>
      </c>
      <c r="I27" s="10">
        <v>45915.0</v>
      </c>
      <c r="J27" s="11" t="s">
        <v>33</v>
      </c>
      <c r="K27" s="10">
        <v>45915.0</v>
      </c>
      <c r="L27" s="27" t="s">
        <v>142</v>
      </c>
      <c r="M27" s="5" t="s">
        <v>34</v>
      </c>
      <c r="N27" s="10">
        <v>45916.0</v>
      </c>
      <c r="O27" s="11" t="s">
        <v>33</v>
      </c>
      <c r="P27" s="5" t="s">
        <v>141</v>
      </c>
      <c r="Q27" s="10"/>
      <c r="R27" s="11" t="s">
        <v>38</v>
      </c>
      <c r="S27" s="5" t="s">
        <v>36</v>
      </c>
      <c r="T27" s="10">
        <v>45950.0</v>
      </c>
      <c r="U27" s="20"/>
      <c r="V27" s="5" t="s">
        <v>143</v>
      </c>
      <c r="W27" s="10"/>
      <c r="X27" s="20"/>
      <c r="Y27" s="5" t="s">
        <v>51</v>
      </c>
      <c r="Z27" s="23">
        <v>45919.0</v>
      </c>
      <c r="AA27" s="11" t="s">
        <v>33</v>
      </c>
      <c r="AB27" s="14" t="s">
        <v>282</v>
      </c>
      <c r="AC27" s="5" t="s">
        <v>41</v>
      </c>
      <c r="AD27" s="23">
        <v>45922.0</v>
      </c>
      <c r="AE27" s="11" t="s">
        <v>33</v>
      </c>
    </row>
    <row r="28" ht="22.5" customHeight="1">
      <c r="A28" s="5">
        <v>3.0</v>
      </c>
      <c r="B28" s="21">
        <v>2.0</v>
      </c>
      <c r="C28" s="5" t="s">
        <v>283</v>
      </c>
      <c r="D28" s="16" t="s">
        <v>49</v>
      </c>
      <c r="E28" s="7" t="str">
        <f>IFERROR(__xludf.DUMMYFUNCTION("IF(AND(F28 &gt; 0.3, F28 &lt; 0.5), SPARKLINE(F28,{""charttype"",""bar"";""color1"",""Gold"";""max"",1}),
IF(F28 = 1, SPARKLINE(F28,{""charttype"",""bar"";""color1"",""Lime"";""max"",1}),
IF(F28 &gt;= 0.5, SPARKLINE(F28,{""charttype"",""bar"";""color1"",""GreenYel"&amp;"low"";""max"",1}),
SPARKLINE(F28,{""charttype"",""bar"";""color1"",""DarkOrange"";""max"",1}))))"),"")</f>
        <v/>
      </c>
      <c r="F28" s="8">
        <f t="shared" si="1"/>
        <v>0.8</v>
      </c>
      <c r="G28" s="14" t="s">
        <v>284</v>
      </c>
      <c r="H28" s="5" t="s">
        <v>141</v>
      </c>
      <c r="I28" s="10">
        <v>45915.0</v>
      </c>
      <c r="J28" s="11" t="s">
        <v>33</v>
      </c>
      <c r="K28" s="10">
        <v>45915.0</v>
      </c>
      <c r="L28" s="27" t="s">
        <v>142</v>
      </c>
      <c r="M28" s="5" t="s">
        <v>34</v>
      </c>
      <c r="N28" s="10">
        <v>45916.0</v>
      </c>
      <c r="O28" s="11" t="s">
        <v>33</v>
      </c>
      <c r="P28" s="5" t="s">
        <v>141</v>
      </c>
      <c r="Q28" s="10"/>
      <c r="R28" s="11" t="s">
        <v>38</v>
      </c>
      <c r="S28" s="5" t="s">
        <v>36</v>
      </c>
      <c r="T28" s="10">
        <v>45950.0</v>
      </c>
      <c r="U28" s="20"/>
      <c r="V28" s="5" t="s">
        <v>143</v>
      </c>
      <c r="W28" s="10"/>
      <c r="X28" s="20"/>
      <c r="Y28" s="5" t="s">
        <v>51</v>
      </c>
      <c r="Z28" s="23">
        <v>45919.0</v>
      </c>
      <c r="AA28" s="11" t="s">
        <v>33</v>
      </c>
      <c r="AB28" s="14" t="s">
        <v>285</v>
      </c>
      <c r="AC28" s="5" t="s">
        <v>41</v>
      </c>
      <c r="AD28" s="23">
        <v>45922.0</v>
      </c>
      <c r="AE28" s="11" t="s">
        <v>33</v>
      </c>
    </row>
    <row r="29" ht="22.5" customHeight="1">
      <c r="A29" s="5">
        <v>3.0</v>
      </c>
      <c r="B29" s="21">
        <v>2.0</v>
      </c>
      <c r="C29" s="5" t="s">
        <v>286</v>
      </c>
      <c r="D29" s="16" t="s">
        <v>60</v>
      </c>
      <c r="E29" s="7" t="str">
        <f>IFERROR(__xludf.DUMMYFUNCTION("IF(AND(F29 &gt; 0.3, F29 &lt; 0.5), SPARKLINE(F29,{""charttype"",""bar"";""color1"",""Gold"";""max"",1}),
IF(F29 = 1, SPARKLINE(F29,{""charttype"",""bar"";""color1"",""Lime"";""max"",1}),
IF(F29 &gt;= 0.5, SPARKLINE(F29,{""charttype"",""bar"";""color1"",""GreenYel"&amp;"low"";""max"",1}),
SPARKLINE(F29,{""charttype"",""bar"";""color1"",""DarkOrange"";""max"",1}))))"),"")</f>
        <v/>
      </c>
      <c r="F29" s="8">
        <f t="shared" si="1"/>
        <v>0.8</v>
      </c>
      <c r="G29" s="14" t="s">
        <v>287</v>
      </c>
      <c r="H29" s="5" t="s">
        <v>141</v>
      </c>
      <c r="I29" s="10">
        <v>45915.0</v>
      </c>
      <c r="J29" s="11" t="s">
        <v>33</v>
      </c>
      <c r="K29" s="10">
        <v>45915.0</v>
      </c>
      <c r="L29" s="27" t="s">
        <v>142</v>
      </c>
      <c r="M29" s="5" t="s">
        <v>34</v>
      </c>
      <c r="N29" s="10">
        <v>45916.0</v>
      </c>
      <c r="O29" s="11" t="s">
        <v>33</v>
      </c>
      <c r="P29" s="5" t="s">
        <v>141</v>
      </c>
      <c r="Q29" s="10"/>
      <c r="R29" s="11" t="s">
        <v>38</v>
      </c>
      <c r="S29" s="5" t="s">
        <v>36</v>
      </c>
      <c r="T29" s="10">
        <v>45950.0</v>
      </c>
      <c r="U29" s="20"/>
      <c r="V29" s="5" t="s">
        <v>143</v>
      </c>
      <c r="W29" s="10"/>
      <c r="X29" s="20"/>
      <c r="Y29" s="5" t="s">
        <v>51</v>
      </c>
      <c r="Z29" s="23">
        <v>45919.0</v>
      </c>
      <c r="AA29" s="11" t="s">
        <v>33</v>
      </c>
      <c r="AB29" s="14" t="s">
        <v>288</v>
      </c>
      <c r="AC29" s="5" t="s">
        <v>41</v>
      </c>
      <c r="AD29" s="23">
        <v>45922.0</v>
      </c>
      <c r="AE29" s="11" t="s">
        <v>33</v>
      </c>
    </row>
    <row r="30" ht="22.5" customHeight="1">
      <c r="A30" s="5">
        <v>3.0</v>
      </c>
      <c r="B30" s="21">
        <v>2.0</v>
      </c>
      <c r="C30" s="5" t="s">
        <v>289</v>
      </c>
      <c r="D30" s="16" t="s">
        <v>64</v>
      </c>
      <c r="E30" s="7" t="str">
        <f>IFERROR(__xludf.DUMMYFUNCTION("IF(AND(F30 &gt; 0.3, F30 &lt; 0.5), SPARKLINE(F30,{""charttype"",""bar"";""color1"",""Gold"";""max"",1}),
IF(F30 = 1, SPARKLINE(F30,{""charttype"",""bar"";""color1"",""Lime"";""max"",1}),
IF(F30 &gt;= 0.5, SPARKLINE(F30,{""charttype"",""bar"";""color1"",""GreenYel"&amp;"low"";""max"",1}),
SPARKLINE(F30,{""charttype"",""bar"";""color1"",""DarkOrange"";""max"",1}))))"),"")</f>
        <v/>
      </c>
      <c r="F30" s="8">
        <f t="shared" si="1"/>
        <v>0.8</v>
      </c>
      <c r="G30" s="14" t="s">
        <v>290</v>
      </c>
      <c r="H30" s="5" t="s">
        <v>141</v>
      </c>
      <c r="I30" s="10">
        <v>45915.0</v>
      </c>
      <c r="J30" s="11" t="s">
        <v>33</v>
      </c>
      <c r="K30" s="10">
        <v>45915.0</v>
      </c>
      <c r="L30" s="27" t="s">
        <v>142</v>
      </c>
      <c r="M30" s="5" t="s">
        <v>34</v>
      </c>
      <c r="N30" s="10">
        <v>45916.0</v>
      </c>
      <c r="O30" s="11" t="s">
        <v>33</v>
      </c>
      <c r="P30" s="5" t="s">
        <v>141</v>
      </c>
      <c r="Q30" s="10"/>
      <c r="R30" s="11" t="s">
        <v>38</v>
      </c>
      <c r="S30" s="5" t="s">
        <v>36</v>
      </c>
      <c r="T30" s="10">
        <v>45950.0</v>
      </c>
      <c r="U30" s="20"/>
      <c r="V30" s="5" t="s">
        <v>143</v>
      </c>
      <c r="W30" s="10"/>
      <c r="X30" s="20"/>
      <c r="Y30" s="5" t="s">
        <v>51</v>
      </c>
      <c r="Z30" s="23">
        <v>45919.0</v>
      </c>
      <c r="AA30" s="11" t="s">
        <v>33</v>
      </c>
      <c r="AB30" s="14" t="s">
        <v>291</v>
      </c>
      <c r="AC30" s="5" t="s">
        <v>41</v>
      </c>
      <c r="AD30" s="23">
        <v>45922.0</v>
      </c>
      <c r="AE30" s="11" t="s">
        <v>33</v>
      </c>
    </row>
    <row r="31" ht="22.5" customHeight="1">
      <c r="A31" s="5">
        <v>3.0</v>
      </c>
      <c r="B31" s="21">
        <v>2.0</v>
      </c>
      <c r="C31" s="5" t="s">
        <v>292</v>
      </c>
      <c r="D31" s="16" t="s">
        <v>169</v>
      </c>
      <c r="E31" s="7" t="str">
        <f>IFERROR(__xludf.DUMMYFUNCTION("IF(AND(F31 &gt; 0.3, F31 &lt; 0.5), SPARKLINE(F31,{""charttype"",""bar"";""color1"",""Gold"";""max"",1}),
IF(F31 = 1, SPARKLINE(F31,{""charttype"",""bar"";""color1"",""Lime"";""max"",1}),
IF(F31 &gt;= 0.5, SPARKLINE(F31,{""charttype"",""bar"";""color1"",""GreenYel"&amp;"low"";""max"",1}),
SPARKLINE(F31,{""charttype"",""bar"";""color1"",""DarkOrange"";""max"",1}))))"),"")</f>
        <v/>
      </c>
      <c r="F31" s="8">
        <f t="shared" si="1"/>
        <v>0.8333333333</v>
      </c>
      <c r="G31" s="19"/>
      <c r="H31" s="5" t="s">
        <v>141</v>
      </c>
      <c r="I31" s="10">
        <v>45915.0</v>
      </c>
      <c r="J31" s="11" t="s">
        <v>33</v>
      </c>
      <c r="K31" s="10">
        <v>45915.0</v>
      </c>
      <c r="L31" s="27" t="s">
        <v>142</v>
      </c>
      <c r="M31" s="5" t="s">
        <v>34</v>
      </c>
      <c r="N31" s="10">
        <v>45916.0</v>
      </c>
      <c r="O31" s="11" t="s">
        <v>33</v>
      </c>
      <c r="P31" s="5" t="s">
        <v>141</v>
      </c>
      <c r="Q31" s="10">
        <v>45919.0</v>
      </c>
      <c r="R31" s="11" t="s">
        <v>33</v>
      </c>
      <c r="S31" s="5" t="s">
        <v>36</v>
      </c>
      <c r="T31" s="10">
        <v>45950.0</v>
      </c>
      <c r="U31" s="20"/>
      <c r="V31" s="5" t="s">
        <v>143</v>
      </c>
      <c r="W31" s="10"/>
      <c r="X31" s="11" t="s">
        <v>38</v>
      </c>
      <c r="Y31" s="5" t="s">
        <v>144</v>
      </c>
      <c r="Z31" s="23">
        <v>45924.0</v>
      </c>
      <c r="AA31" s="11" t="s">
        <v>33</v>
      </c>
      <c r="AB31" s="31" t="s">
        <v>293</v>
      </c>
      <c r="AC31" s="5" t="s">
        <v>41</v>
      </c>
      <c r="AD31" s="23">
        <v>45925.0</v>
      </c>
      <c r="AE31" s="11" t="s">
        <v>33</v>
      </c>
    </row>
    <row r="32" ht="22.5" customHeight="1">
      <c r="A32" s="5">
        <v>3.0</v>
      </c>
      <c r="B32" s="21">
        <v>2.0</v>
      </c>
      <c r="C32" s="5" t="s">
        <v>294</v>
      </c>
      <c r="D32" s="16" t="s">
        <v>72</v>
      </c>
      <c r="E32" s="7" t="str">
        <f>IFERROR(__xludf.DUMMYFUNCTION("IF(AND(F32 &gt; 0.3, F32 &lt; 0.5), SPARKLINE(F32,{""charttype"",""bar"";""color1"",""Gold"";""max"",1}),
IF(F32 = 1, SPARKLINE(F32,{""charttype"",""bar"";""color1"",""Lime"";""max"",1}),
IF(F32 &gt;= 0.5, SPARKLINE(F32,{""charttype"",""bar"";""color1"",""GreenYel"&amp;"low"";""max"",1}),
SPARKLINE(F32,{""charttype"",""bar"";""color1"",""DarkOrange"";""max"",1}))))"),"")</f>
        <v/>
      </c>
      <c r="F32" s="8">
        <f t="shared" si="1"/>
        <v>0.8</v>
      </c>
      <c r="G32" s="17" t="s">
        <v>295</v>
      </c>
      <c r="H32" s="5" t="s">
        <v>141</v>
      </c>
      <c r="I32" s="10">
        <v>45915.0</v>
      </c>
      <c r="J32" s="11" t="s">
        <v>33</v>
      </c>
      <c r="K32" s="10">
        <v>45915.0</v>
      </c>
      <c r="L32" s="27" t="s">
        <v>142</v>
      </c>
      <c r="M32" s="5" t="s">
        <v>34</v>
      </c>
      <c r="N32" s="10">
        <v>45916.0</v>
      </c>
      <c r="O32" s="11" t="s">
        <v>33</v>
      </c>
      <c r="P32" s="5" t="s">
        <v>141</v>
      </c>
      <c r="Q32" s="10"/>
      <c r="R32" s="11" t="s">
        <v>38</v>
      </c>
      <c r="S32" s="5" t="s">
        <v>36</v>
      </c>
      <c r="T32" s="10">
        <v>45950.0</v>
      </c>
      <c r="U32" s="20"/>
      <c r="V32" s="5" t="s">
        <v>143</v>
      </c>
      <c r="W32" s="10"/>
      <c r="X32" s="20"/>
      <c r="Y32" s="5" t="s">
        <v>51</v>
      </c>
      <c r="Z32" s="23">
        <v>45919.0</v>
      </c>
      <c r="AA32" s="11" t="s">
        <v>33</v>
      </c>
      <c r="AB32" s="14" t="s">
        <v>296</v>
      </c>
      <c r="AC32" s="5" t="s">
        <v>41</v>
      </c>
      <c r="AD32" s="23">
        <v>45922.0</v>
      </c>
      <c r="AE32" s="11" t="s">
        <v>33</v>
      </c>
    </row>
    <row r="33" ht="22.5" customHeight="1">
      <c r="A33" s="5">
        <v>3.0</v>
      </c>
      <c r="B33" s="21">
        <v>2.0</v>
      </c>
      <c r="C33" s="5" t="s">
        <v>297</v>
      </c>
      <c r="D33" s="16" t="s">
        <v>68</v>
      </c>
      <c r="E33" s="7" t="str">
        <f>IFERROR(__xludf.DUMMYFUNCTION("IF(AND(F33 &gt; 0.3, F33 &lt; 0.5), SPARKLINE(F33,{""charttype"",""bar"";""color1"",""Gold"";""max"",1}),
IF(F33 = 1, SPARKLINE(F33,{""charttype"",""bar"";""color1"",""Lime"";""max"",1}),
IF(F33 &gt;= 0.5, SPARKLINE(F33,{""charttype"",""bar"";""color1"",""GreenYel"&amp;"low"";""max"",1}),
SPARKLINE(F33,{""charttype"",""bar"";""color1"",""DarkOrange"";""max"",1}))))"),"")</f>
        <v/>
      </c>
      <c r="F33" s="8">
        <f t="shared" si="1"/>
        <v>0.8</v>
      </c>
      <c r="G33" s="14" t="s">
        <v>298</v>
      </c>
      <c r="H33" s="5" t="s">
        <v>141</v>
      </c>
      <c r="I33" s="10">
        <v>45915.0</v>
      </c>
      <c r="J33" s="11" t="s">
        <v>33</v>
      </c>
      <c r="K33" s="10">
        <v>45915.0</v>
      </c>
      <c r="L33" s="27" t="s">
        <v>142</v>
      </c>
      <c r="M33" s="5" t="s">
        <v>34</v>
      </c>
      <c r="N33" s="10">
        <v>45916.0</v>
      </c>
      <c r="O33" s="11" t="s">
        <v>33</v>
      </c>
      <c r="P33" s="5" t="s">
        <v>141</v>
      </c>
      <c r="Q33" s="10"/>
      <c r="R33" s="11" t="s">
        <v>38</v>
      </c>
      <c r="S33" s="5" t="s">
        <v>36</v>
      </c>
      <c r="T33" s="10">
        <v>45950.0</v>
      </c>
      <c r="U33" s="20"/>
      <c r="V33" s="5" t="s">
        <v>143</v>
      </c>
      <c r="W33" s="10"/>
      <c r="X33" s="20"/>
      <c r="Y33" s="5" t="s">
        <v>51</v>
      </c>
      <c r="Z33" s="23">
        <v>45919.0</v>
      </c>
      <c r="AA33" s="11" t="s">
        <v>33</v>
      </c>
      <c r="AB33" s="31" t="s">
        <v>299</v>
      </c>
      <c r="AC33" s="5" t="s">
        <v>41</v>
      </c>
      <c r="AD33" s="23">
        <v>45922.0</v>
      </c>
      <c r="AE33" s="11" t="s">
        <v>33</v>
      </c>
    </row>
    <row r="34" ht="22.5" customHeight="1">
      <c r="A34" s="5">
        <v>3.0</v>
      </c>
      <c r="B34" s="21">
        <v>3.0</v>
      </c>
      <c r="C34" s="5" t="s">
        <v>300</v>
      </c>
      <c r="D34" s="16" t="s">
        <v>30</v>
      </c>
      <c r="E34" s="7" t="str">
        <f>IFERROR(__xludf.DUMMYFUNCTION("IF(AND(F34 &gt; 0.3, F34 &lt; 0.5), SPARKLINE(F34,{""charttype"",""bar"";""color1"",""Gold"";""max"",1}),
IF(F34 = 1, SPARKLINE(F34,{""charttype"",""bar"";""color1"",""Lime"";""max"",1}),
IF(F34 &gt;= 0.5, SPARKLINE(F34,{""charttype"",""bar"";""color1"",""GreenYel"&amp;"low"";""max"",1}),
SPARKLINE(F34,{""charttype"",""bar"";""color1"",""DarkOrange"";""max"",1}))))"),"")</f>
        <v/>
      </c>
      <c r="F34" s="8">
        <f t="shared" si="1"/>
        <v>0.8333333333</v>
      </c>
      <c r="G34" s="14" t="s">
        <v>301</v>
      </c>
      <c r="H34" s="5" t="s">
        <v>141</v>
      </c>
      <c r="I34" s="10">
        <v>45918.0</v>
      </c>
      <c r="J34" s="11" t="s">
        <v>33</v>
      </c>
      <c r="K34" s="10">
        <v>45918.0</v>
      </c>
      <c r="L34" s="27" t="s">
        <v>142</v>
      </c>
      <c r="M34" s="5" t="s">
        <v>34</v>
      </c>
      <c r="N34" s="10">
        <v>45919.0</v>
      </c>
      <c r="O34" s="11" t="s">
        <v>33</v>
      </c>
      <c r="P34" s="5" t="s">
        <v>141</v>
      </c>
      <c r="Q34" s="10">
        <v>45924.0</v>
      </c>
      <c r="R34" s="11" t="s">
        <v>33</v>
      </c>
      <c r="S34" s="5" t="s">
        <v>36</v>
      </c>
      <c r="T34" s="10">
        <v>45950.0</v>
      </c>
      <c r="U34" s="20"/>
      <c r="V34" s="5" t="s">
        <v>143</v>
      </c>
      <c r="W34" s="10"/>
      <c r="X34" s="11" t="s">
        <v>38</v>
      </c>
      <c r="Y34" s="5" t="s">
        <v>144</v>
      </c>
      <c r="Z34" s="23">
        <v>45929.0</v>
      </c>
      <c r="AA34" s="24" t="s">
        <v>33</v>
      </c>
      <c r="AB34" s="25" t="s">
        <v>302</v>
      </c>
      <c r="AC34" s="26" t="s">
        <v>41</v>
      </c>
      <c r="AD34" s="23">
        <v>45930.0</v>
      </c>
      <c r="AE34" s="11" t="s">
        <v>33</v>
      </c>
    </row>
    <row r="35" ht="22.5" customHeight="1">
      <c r="A35" s="5">
        <v>3.0</v>
      </c>
      <c r="B35" s="21">
        <v>3.0</v>
      </c>
      <c r="C35" s="5" t="s">
        <v>303</v>
      </c>
      <c r="D35" s="16" t="s">
        <v>30</v>
      </c>
      <c r="E35" s="7" t="str">
        <f>IFERROR(__xludf.DUMMYFUNCTION("IF(AND(F35 &gt; 0.3, F35 &lt; 0.5), SPARKLINE(F35,{""charttype"",""bar"";""color1"",""Gold"";""max"",1}),
IF(F35 = 1, SPARKLINE(F35,{""charttype"",""bar"";""color1"",""Lime"";""max"",1}),
IF(F35 &gt;= 0.5, SPARKLINE(F35,{""charttype"",""bar"";""color1"",""GreenYel"&amp;"low"";""max"",1}),
SPARKLINE(F35,{""charttype"",""bar"";""color1"",""DarkOrange"";""max"",1}))))"),"")</f>
        <v/>
      </c>
      <c r="F35" s="8">
        <f t="shared" si="1"/>
        <v>0.8333333333</v>
      </c>
      <c r="G35" s="14" t="s">
        <v>304</v>
      </c>
      <c r="H35" s="5" t="s">
        <v>141</v>
      </c>
      <c r="I35" s="10">
        <v>45918.0</v>
      </c>
      <c r="J35" s="11" t="s">
        <v>33</v>
      </c>
      <c r="K35" s="10">
        <v>45918.0</v>
      </c>
      <c r="L35" s="27" t="s">
        <v>142</v>
      </c>
      <c r="M35" s="5" t="s">
        <v>34</v>
      </c>
      <c r="N35" s="10">
        <v>45919.0</v>
      </c>
      <c r="O35" s="11" t="s">
        <v>33</v>
      </c>
      <c r="P35" s="5" t="s">
        <v>141</v>
      </c>
      <c r="Q35" s="10">
        <v>45924.0</v>
      </c>
      <c r="R35" s="11" t="s">
        <v>33</v>
      </c>
      <c r="S35" s="5" t="s">
        <v>36</v>
      </c>
      <c r="T35" s="10">
        <v>45950.0</v>
      </c>
      <c r="U35" s="20"/>
      <c r="V35" s="5" t="s">
        <v>143</v>
      </c>
      <c r="W35" s="10"/>
      <c r="X35" s="11" t="s">
        <v>38</v>
      </c>
      <c r="Y35" s="5" t="s">
        <v>144</v>
      </c>
      <c r="Z35" s="23">
        <v>45929.0</v>
      </c>
      <c r="AA35" s="24" t="s">
        <v>33</v>
      </c>
      <c r="AB35" s="25" t="s">
        <v>305</v>
      </c>
      <c r="AC35" s="26" t="s">
        <v>41</v>
      </c>
      <c r="AD35" s="23">
        <v>45930.0</v>
      </c>
      <c r="AE35" s="11" t="s">
        <v>33</v>
      </c>
    </row>
    <row r="36" ht="22.5" customHeight="1">
      <c r="A36" s="5">
        <v>3.0</v>
      </c>
      <c r="B36" s="21">
        <v>3.0</v>
      </c>
      <c r="C36" s="5" t="s">
        <v>306</v>
      </c>
      <c r="D36" s="16" t="s">
        <v>30</v>
      </c>
      <c r="E36" s="7" t="str">
        <f>IFERROR(__xludf.DUMMYFUNCTION("IF(AND(F36 &gt; 0.3, F36 &lt; 0.5), SPARKLINE(F36,{""charttype"",""bar"";""color1"",""Gold"";""max"",1}),
IF(F36 = 1, SPARKLINE(F36,{""charttype"",""bar"";""color1"",""Lime"";""max"",1}),
IF(F36 &gt;= 0.5, SPARKLINE(F36,{""charttype"",""bar"";""color1"",""GreenYel"&amp;"low"";""max"",1}),
SPARKLINE(F36,{""charttype"",""bar"";""color1"",""DarkOrange"";""max"",1}))))"),"")</f>
        <v/>
      </c>
      <c r="F36" s="8">
        <f t="shared" si="1"/>
        <v>0.8333333333</v>
      </c>
      <c r="G36" s="14" t="s">
        <v>307</v>
      </c>
      <c r="H36" s="5" t="s">
        <v>141</v>
      </c>
      <c r="I36" s="10">
        <v>45918.0</v>
      </c>
      <c r="J36" s="11" t="s">
        <v>33</v>
      </c>
      <c r="K36" s="10">
        <v>45918.0</v>
      </c>
      <c r="L36" s="27" t="s">
        <v>142</v>
      </c>
      <c r="M36" s="5" t="s">
        <v>34</v>
      </c>
      <c r="N36" s="10">
        <v>45919.0</v>
      </c>
      <c r="O36" s="11" t="s">
        <v>33</v>
      </c>
      <c r="P36" s="5" t="s">
        <v>141</v>
      </c>
      <c r="Q36" s="10">
        <v>45924.0</v>
      </c>
      <c r="R36" s="11" t="s">
        <v>33</v>
      </c>
      <c r="S36" s="5" t="s">
        <v>36</v>
      </c>
      <c r="T36" s="10">
        <v>45950.0</v>
      </c>
      <c r="U36" s="20"/>
      <c r="V36" s="5" t="s">
        <v>143</v>
      </c>
      <c r="W36" s="10"/>
      <c r="X36" s="11" t="s">
        <v>38</v>
      </c>
      <c r="Y36" s="5" t="s">
        <v>144</v>
      </c>
      <c r="Z36" s="23">
        <v>45929.0</v>
      </c>
      <c r="AA36" s="24" t="s">
        <v>33</v>
      </c>
      <c r="AB36" s="25" t="s">
        <v>308</v>
      </c>
      <c r="AC36" s="26" t="s">
        <v>41</v>
      </c>
      <c r="AD36" s="23">
        <v>45930.0</v>
      </c>
      <c r="AE36" s="11" t="s">
        <v>33</v>
      </c>
    </row>
    <row r="37" ht="22.5" customHeight="1">
      <c r="A37" s="5">
        <v>3.0</v>
      </c>
      <c r="B37" s="21">
        <v>3.0</v>
      </c>
      <c r="C37" s="5" t="s">
        <v>309</v>
      </c>
      <c r="D37" s="16" t="s">
        <v>49</v>
      </c>
      <c r="E37" s="7" t="str">
        <f>IFERROR(__xludf.DUMMYFUNCTION("IF(AND(F37 &gt; 0.3, F37 &lt; 0.5), SPARKLINE(F37,{""charttype"",""bar"";""color1"",""Gold"";""max"",1}),
IF(F37 = 1, SPARKLINE(F37,{""charttype"",""bar"";""color1"",""Lime"";""max"",1}),
IF(F37 &gt;= 0.5, SPARKLINE(F37,{""charttype"",""bar"";""color1"",""GreenYel"&amp;"low"";""max"",1}),
SPARKLINE(F37,{""charttype"",""bar"";""color1"",""DarkOrange"";""max"",1}))))"),"")</f>
        <v/>
      </c>
      <c r="F37" s="8">
        <f t="shared" si="1"/>
        <v>0.8</v>
      </c>
      <c r="G37" s="14" t="s">
        <v>310</v>
      </c>
      <c r="H37" s="5" t="s">
        <v>141</v>
      </c>
      <c r="I37" s="10">
        <v>45918.0</v>
      </c>
      <c r="J37" s="11" t="s">
        <v>33</v>
      </c>
      <c r="K37" s="10">
        <v>45918.0</v>
      </c>
      <c r="L37" s="27" t="s">
        <v>142</v>
      </c>
      <c r="M37" s="5" t="s">
        <v>34</v>
      </c>
      <c r="N37" s="10">
        <v>45919.0</v>
      </c>
      <c r="O37" s="11" t="s">
        <v>33</v>
      </c>
      <c r="P37" s="5" t="s">
        <v>141</v>
      </c>
      <c r="Q37" s="10"/>
      <c r="R37" s="11" t="s">
        <v>38</v>
      </c>
      <c r="S37" s="5" t="s">
        <v>36</v>
      </c>
      <c r="T37" s="10">
        <v>45950.0</v>
      </c>
      <c r="U37" s="20"/>
      <c r="V37" s="5" t="s">
        <v>143</v>
      </c>
      <c r="W37" s="10"/>
      <c r="X37" s="20"/>
      <c r="Y37" s="5" t="s">
        <v>51</v>
      </c>
      <c r="Z37" s="23">
        <v>45924.0</v>
      </c>
      <c r="AA37" s="11" t="s">
        <v>33</v>
      </c>
      <c r="AB37" s="25" t="s">
        <v>311</v>
      </c>
      <c r="AC37" s="5" t="s">
        <v>41</v>
      </c>
      <c r="AD37" s="23">
        <v>45925.0</v>
      </c>
      <c r="AE37" s="11" t="s">
        <v>33</v>
      </c>
    </row>
    <row r="38" ht="22.5" customHeight="1">
      <c r="A38" s="5">
        <v>3.0</v>
      </c>
      <c r="B38" s="21">
        <v>3.0</v>
      </c>
      <c r="C38" s="5" t="s">
        <v>312</v>
      </c>
      <c r="D38" s="16" t="s">
        <v>49</v>
      </c>
      <c r="E38" s="7" t="str">
        <f>IFERROR(__xludf.DUMMYFUNCTION("IF(AND(F38 &gt; 0.3, F38 &lt; 0.5), SPARKLINE(F38,{""charttype"",""bar"";""color1"",""Gold"";""max"",1}),
IF(F38 = 1, SPARKLINE(F38,{""charttype"",""bar"";""color1"",""Lime"";""max"",1}),
IF(F38 &gt;= 0.5, SPARKLINE(F38,{""charttype"",""bar"";""color1"",""GreenYel"&amp;"low"";""max"",1}),
SPARKLINE(F38,{""charttype"",""bar"";""color1"",""DarkOrange"";""max"",1}))))"),"")</f>
        <v/>
      </c>
      <c r="F38" s="8">
        <f t="shared" si="1"/>
        <v>0.8</v>
      </c>
      <c r="G38" s="14" t="s">
        <v>313</v>
      </c>
      <c r="H38" s="5" t="s">
        <v>141</v>
      </c>
      <c r="I38" s="10">
        <v>45918.0</v>
      </c>
      <c r="J38" s="11" t="s">
        <v>33</v>
      </c>
      <c r="K38" s="10">
        <v>45918.0</v>
      </c>
      <c r="L38" s="27" t="s">
        <v>142</v>
      </c>
      <c r="M38" s="5" t="s">
        <v>34</v>
      </c>
      <c r="N38" s="10">
        <v>45919.0</v>
      </c>
      <c r="O38" s="11" t="s">
        <v>33</v>
      </c>
      <c r="P38" s="5" t="s">
        <v>141</v>
      </c>
      <c r="Q38" s="10"/>
      <c r="R38" s="11" t="s">
        <v>38</v>
      </c>
      <c r="S38" s="5" t="s">
        <v>36</v>
      </c>
      <c r="T38" s="10">
        <v>45950.0</v>
      </c>
      <c r="U38" s="20"/>
      <c r="V38" s="5" t="s">
        <v>143</v>
      </c>
      <c r="W38" s="10"/>
      <c r="X38" s="20"/>
      <c r="Y38" s="5" t="s">
        <v>51</v>
      </c>
      <c r="Z38" s="23">
        <v>45924.0</v>
      </c>
      <c r="AA38" s="11" t="s">
        <v>33</v>
      </c>
      <c r="AB38" s="14" t="s">
        <v>314</v>
      </c>
      <c r="AC38" s="5" t="s">
        <v>41</v>
      </c>
      <c r="AD38" s="23">
        <v>45925.0</v>
      </c>
      <c r="AE38" s="11" t="s">
        <v>33</v>
      </c>
    </row>
    <row r="39" ht="22.5" customHeight="1">
      <c r="A39" s="5">
        <v>3.0</v>
      </c>
      <c r="B39" s="21">
        <v>3.0</v>
      </c>
      <c r="C39" s="5" t="s">
        <v>315</v>
      </c>
      <c r="D39" s="16" t="s">
        <v>49</v>
      </c>
      <c r="E39" s="7" t="str">
        <f>IFERROR(__xludf.DUMMYFUNCTION("IF(AND(F39 &gt; 0.3, F39 &lt; 0.5), SPARKLINE(F39,{""charttype"",""bar"";""color1"",""Gold"";""max"",1}),
IF(F39 = 1, SPARKLINE(F39,{""charttype"",""bar"";""color1"",""Lime"";""max"",1}),
IF(F39 &gt;= 0.5, SPARKLINE(F39,{""charttype"",""bar"";""color1"",""GreenYel"&amp;"low"";""max"",1}),
SPARKLINE(F39,{""charttype"",""bar"";""color1"",""DarkOrange"";""max"",1}))))"),"")</f>
        <v/>
      </c>
      <c r="F39" s="8">
        <f t="shared" si="1"/>
        <v>0.8</v>
      </c>
      <c r="G39" s="14" t="s">
        <v>316</v>
      </c>
      <c r="H39" s="5" t="s">
        <v>141</v>
      </c>
      <c r="I39" s="10">
        <v>45918.0</v>
      </c>
      <c r="J39" s="11" t="s">
        <v>33</v>
      </c>
      <c r="K39" s="10">
        <v>45918.0</v>
      </c>
      <c r="L39" s="27" t="s">
        <v>142</v>
      </c>
      <c r="M39" s="5" t="s">
        <v>34</v>
      </c>
      <c r="N39" s="10">
        <v>45919.0</v>
      </c>
      <c r="O39" s="11" t="s">
        <v>33</v>
      </c>
      <c r="P39" s="5" t="s">
        <v>141</v>
      </c>
      <c r="Q39" s="10"/>
      <c r="R39" s="11" t="s">
        <v>38</v>
      </c>
      <c r="S39" s="5" t="s">
        <v>36</v>
      </c>
      <c r="T39" s="10">
        <v>45950.0</v>
      </c>
      <c r="U39" s="20"/>
      <c r="V39" s="5" t="s">
        <v>143</v>
      </c>
      <c r="W39" s="10"/>
      <c r="X39" s="20"/>
      <c r="Y39" s="5" t="s">
        <v>51</v>
      </c>
      <c r="Z39" s="23">
        <v>45924.0</v>
      </c>
      <c r="AA39" s="11" t="s">
        <v>33</v>
      </c>
      <c r="AB39" s="14" t="s">
        <v>317</v>
      </c>
      <c r="AC39" s="5" t="s">
        <v>41</v>
      </c>
      <c r="AD39" s="23">
        <v>45925.0</v>
      </c>
      <c r="AE39" s="11" t="s">
        <v>33</v>
      </c>
    </row>
    <row r="40" ht="22.5" customHeight="1">
      <c r="A40" s="5">
        <v>3.0</v>
      </c>
      <c r="B40" s="21">
        <v>3.0</v>
      </c>
      <c r="C40" s="5" t="s">
        <v>318</v>
      </c>
      <c r="D40" s="16" t="s">
        <v>60</v>
      </c>
      <c r="E40" s="7" t="str">
        <f>IFERROR(__xludf.DUMMYFUNCTION("IF(AND(F40 &gt; 0.3, F40 &lt; 0.5), SPARKLINE(F40,{""charttype"",""bar"";""color1"",""Gold"";""max"",1}),
IF(F40 = 1, SPARKLINE(F40,{""charttype"",""bar"";""color1"",""Lime"";""max"",1}),
IF(F40 &gt;= 0.5, SPARKLINE(F40,{""charttype"",""bar"";""color1"",""GreenYel"&amp;"low"";""max"",1}),
SPARKLINE(F40,{""charttype"",""bar"";""color1"",""DarkOrange"";""max"",1}))))"),"")</f>
        <v/>
      </c>
      <c r="F40" s="8">
        <f t="shared" si="1"/>
        <v>0.8</v>
      </c>
      <c r="G40" s="14" t="s">
        <v>319</v>
      </c>
      <c r="H40" s="5" t="s">
        <v>141</v>
      </c>
      <c r="I40" s="10">
        <v>45918.0</v>
      </c>
      <c r="J40" s="11" t="s">
        <v>33</v>
      </c>
      <c r="K40" s="10">
        <v>45918.0</v>
      </c>
      <c r="L40" s="27" t="s">
        <v>142</v>
      </c>
      <c r="M40" s="5" t="s">
        <v>34</v>
      </c>
      <c r="N40" s="10">
        <v>45919.0</v>
      </c>
      <c r="O40" s="11" t="s">
        <v>33</v>
      </c>
      <c r="P40" s="5" t="s">
        <v>141</v>
      </c>
      <c r="Q40" s="10"/>
      <c r="R40" s="11" t="s">
        <v>38</v>
      </c>
      <c r="S40" s="5" t="s">
        <v>36</v>
      </c>
      <c r="T40" s="10">
        <v>45950.0</v>
      </c>
      <c r="U40" s="20"/>
      <c r="V40" s="5" t="s">
        <v>143</v>
      </c>
      <c r="W40" s="10"/>
      <c r="X40" s="20"/>
      <c r="Y40" s="5" t="s">
        <v>51</v>
      </c>
      <c r="Z40" s="23">
        <v>45924.0</v>
      </c>
      <c r="AA40" s="11" t="s">
        <v>33</v>
      </c>
      <c r="AB40" s="14" t="s">
        <v>320</v>
      </c>
      <c r="AC40" s="5" t="s">
        <v>41</v>
      </c>
      <c r="AD40" s="23">
        <v>45925.0</v>
      </c>
      <c r="AE40" s="11" t="s">
        <v>33</v>
      </c>
    </row>
    <row r="41" ht="22.5" customHeight="1">
      <c r="A41" s="5">
        <v>3.0</v>
      </c>
      <c r="B41" s="21">
        <v>3.0</v>
      </c>
      <c r="C41" s="5" t="s">
        <v>321</v>
      </c>
      <c r="D41" s="16" t="s">
        <v>64</v>
      </c>
      <c r="E41" s="7" t="str">
        <f>IFERROR(__xludf.DUMMYFUNCTION("IF(AND(F41 &gt; 0.3, F41 &lt; 0.5), SPARKLINE(F41,{""charttype"",""bar"";""color1"",""Gold"";""max"",1}),
IF(F41 = 1, SPARKLINE(F41,{""charttype"",""bar"";""color1"",""Lime"";""max"",1}),
IF(F41 &gt;= 0.5, SPARKLINE(F41,{""charttype"",""bar"";""color1"",""GreenYel"&amp;"low"";""max"",1}),
SPARKLINE(F41,{""charttype"",""bar"";""color1"",""DarkOrange"";""max"",1}))))"),"")</f>
        <v/>
      </c>
      <c r="F41" s="8">
        <f t="shared" si="1"/>
        <v>0.8</v>
      </c>
      <c r="G41" s="14" t="s">
        <v>322</v>
      </c>
      <c r="H41" s="5" t="s">
        <v>141</v>
      </c>
      <c r="I41" s="10">
        <v>45918.0</v>
      </c>
      <c r="J41" s="11" t="s">
        <v>33</v>
      </c>
      <c r="K41" s="10">
        <v>45918.0</v>
      </c>
      <c r="L41" s="27" t="s">
        <v>142</v>
      </c>
      <c r="M41" s="5" t="s">
        <v>34</v>
      </c>
      <c r="N41" s="10">
        <v>45919.0</v>
      </c>
      <c r="O41" s="11" t="s">
        <v>33</v>
      </c>
      <c r="P41" s="5" t="s">
        <v>141</v>
      </c>
      <c r="Q41" s="10"/>
      <c r="R41" s="11" t="s">
        <v>38</v>
      </c>
      <c r="S41" s="5" t="s">
        <v>36</v>
      </c>
      <c r="T41" s="10">
        <v>45950.0</v>
      </c>
      <c r="U41" s="20"/>
      <c r="V41" s="5" t="s">
        <v>143</v>
      </c>
      <c r="W41" s="10"/>
      <c r="X41" s="20"/>
      <c r="Y41" s="5" t="s">
        <v>51</v>
      </c>
      <c r="Z41" s="23">
        <v>45924.0</v>
      </c>
      <c r="AA41" s="11" t="s">
        <v>33</v>
      </c>
      <c r="AB41" s="14" t="s">
        <v>323</v>
      </c>
      <c r="AC41" s="5" t="s">
        <v>41</v>
      </c>
      <c r="AD41" s="23">
        <v>45925.0</v>
      </c>
      <c r="AE41" s="11" t="s">
        <v>33</v>
      </c>
    </row>
    <row r="42" ht="22.5" customHeight="1">
      <c r="A42" s="5">
        <v>3.0</v>
      </c>
      <c r="B42" s="21">
        <v>3.0</v>
      </c>
      <c r="C42" s="5" t="s">
        <v>324</v>
      </c>
      <c r="D42" s="16" t="s">
        <v>169</v>
      </c>
      <c r="E42" s="7" t="str">
        <f>IFERROR(__xludf.DUMMYFUNCTION("IF(AND(F42 &gt; 0.3, F42 &lt; 0.5), SPARKLINE(F42,{""charttype"",""bar"";""color1"",""Gold"";""max"",1}),
IF(F42 = 1, SPARKLINE(F42,{""charttype"",""bar"";""color1"",""Lime"";""max"",1}),
IF(F42 &gt;= 0.5, SPARKLINE(F42,{""charttype"",""bar"";""color1"",""GreenYel"&amp;"low"";""max"",1}),
SPARKLINE(F42,{""charttype"",""bar"";""color1"",""DarkOrange"";""max"",1}))))"),"")</f>
        <v/>
      </c>
      <c r="F42" s="8">
        <f t="shared" si="1"/>
        <v>0.8333333333</v>
      </c>
      <c r="G42" s="19"/>
      <c r="H42" s="5" t="s">
        <v>141</v>
      </c>
      <c r="I42" s="10">
        <v>45918.0</v>
      </c>
      <c r="J42" s="11" t="s">
        <v>33</v>
      </c>
      <c r="K42" s="10">
        <v>45918.0</v>
      </c>
      <c r="L42" s="27" t="s">
        <v>142</v>
      </c>
      <c r="M42" s="5" t="s">
        <v>34</v>
      </c>
      <c r="N42" s="10">
        <v>45919.0</v>
      </c>
      <c r="O42" s="11" t="s">
        <v>33</v>
      </c>
      <c r="P42" s="5" t="s">
        <v>141</v>
      </c>
      <c r="Q42" s="10">
        <v>45924.0</v>
      </c>
      <c r="R42" s="11" t="s">
        <v>33</v>
      </c>
      <c r="S42" s="5" t="s">
        <v>36</v>
      </c>
      <c r="T42" s="10">
        <v>45950.0</v>
      </c>
      <c r="U42" s="20"/>
      <c r="V42" s="5" t="s">
        <v>143</v>
      </c>
      <c r="W42" s="10"/>
      <c r="X42" s="11" t="s">
        <v>38</v>
      </c>
      <c r="Y42" s="5" t="s">
        <v>144</v>
      </c>
      <c r="Z42" s="23">
        <v>45929.0</v>
      </c>
      <c r="AA42" s="11" t="s">
        <v>33</v>
      </c>
      <c r="AB42" s="31" t="s">
        <v>325</v>
      </c>
      <c r="AC42" s="5" t="s">
        <v>41</v>
      </c>
      <c r="AD42" s="23">
        <v>45930.0</v>
      </c>
      <c r="AE42" s="11" t="s">
        <v>33</v>
      </c>
    </row>
    <row r="43" ht="22.5" customHeight="1">
      <c r="A43" s="5">
        <v>3.0</v>
      </c>
      <c r="B43" s="21">
        <v>3.0</v>
      </c>
      <c r="C43" s="5" t="s">
        <v>326</v>
      </c>
      <c r="D43" s="16" t="s">
        <v>72</v>
      </c>
      <c r="E43" s="7" t="str">
        <f>IFERROR(__xludf.DUMMYFUNCTION("IF(AND(F43 &gt; 0.3, F43 &lt; 0.5), SPARKLINE(F43,{""charttype"",""bar"";""color1"",""Gold"";""max"",1}),
IF(F43 = 1, SPARKLINE(F43,{""charttype"",""bar"";""color1"",""Lime"";""max"",1}),
IF(F43 &gt;= 0.5, SPARKLINE(F43,{""charttype"",""bar"";""color1"",""GreenYel"&amp;"low"";""max"",1}),
SPARKLINE(F43,{""charttype"",""bar"";""color1"",""DarkOrange"";""max"",1}))))"),"")</f>
        <v/>
      </c>
      <c r="F43" s="8">
        <f t="shared" si="1"/>
        <v>0.8</v>
      </c>
      <c r="G43" s="14" t="s">
        <v>327</v>
      </c>
      <c r="H43" s="5" t="s">
        <v>141</v>
      </c>
      <c r="I43" s="10">
        <v>45918.0</v>
      </c>
      <c r="J43" s="11" t="s">
        <v>33</v>
      </c>
      <c r="K43" s="10">
        <v>45918.0</v>
      </c>
      <c r="L43" s="27" t="s">
        <v>142</v>
      </c>
      <c r="M43" s="5" t="s">
        <v>34</v>
      </c>
      <c r="N43" s="10">
        <v>45919.0</v>
      </c>
      <c r="O43" s="11" t="s">
        <v>33</v>
      </c>
      <c r="P43" s="5" t="s">
        <v>141</v>
      </c>
      <c r="Q43" s="10"/>
      <c r="R43" s="11" t="s">
        <v>38</v>
      </c>
      <c r="S43" s="5" t="s">
        <v>36</v>
      </c>
      <c r="T43" s="10">
        <v>45950.0</v>
      </c>
      <c r="U43" s="20"/>
      <c r="V43" s="5" t="s">
        <v>143</v>
      </c>
      <c r="W43" s="10"/>
      <c r="X43" s="20"/>
      <c r="Y43" s="5" t="s">
        <v>51</v>
      </c>
      <c r="Z43" s="23">
        <v>45924.0</v>
      </c>
      <c r="AA43" s="11" t="s">
        <v>33</v>
      </c>
      <c r="AB43" s="14" t="s">
        <v>328</v>
      </c>
      <c r="AC43" s="5" t="s">
        <v>41</v>
      </c>
      <c r="AD43" s="23">
        <v>45925.0</v>
      </c>
      <c r="AE43" s="11" t="s">
        <v>33</v>
      </c>
    </row>
    <row r="44" ht="22.5" customHeight="1">
      <c r="A44" s="5">
        <v>3.0</v>
      </c>
      <c r="B44" s="21">
        <v>3.0</v>
      </c>
      <c r="C44" s="5" t="s">
        <v>329</v>
      </c>
      <c r="D44" s="16" t="s">
        <v>68</v>
      </c>
      <c r="E44" s="7" t="str">
        <f>IFERROR(__xludf.DUMMYFUNCTION("IF(AND(F44 &gt; 0.3, F44 &lt; 0.5), SPARKLINE(F44,{""charttype"",""bar"";""color1"",""Gold"";""max"",1}),
IF(F44 = 1, SPARKLINE(F44,{""charttype"",""bar"";""color1"",""Lime"";""max"",1}),
IF(F44 &gt;= 0.5, SPARKLINE(F44,{""charttype"",""bar"";""color1"",""GreenYel"&amp;"low"";""max"",1}),
SPARKLINE(F44,{""charttype"",""bar"";""color1"",""DarkOrange"";""max"",1}))))"),"")</f>
        <v/>
      </c>
      <c r="F44" s="8">
        <f t="shared" si="1"/>
        <v>0.8</v>
      </c>
      <c r="G44" s="14" t="s">
        <v>330</v>
      </c>
      <c r="H44" s="5" t="s">
        <v>141</v>
      </c>
      <c r="I44" s="10">
        <v>45918.0</v>
      </c>
      <c r="J44" s="11" t="s">
        <v>33</v>
      </c>
      <c r="K44" s="10">
        <v>45918.0</v>
      </c>
      <c r="L44" s="27" t="s">
        <v>142</v>
      </c>
      <c r="M44" s="5" t="s">
        <v>34</v>
      </c>
      <c r="N44" s="10">
        <v>45919.0</v>
      </c>
      <c r="O44" s="11" t="s">
        <v>33</v>
      </c>
      <c r="P44" s="5" t="s">
        <v>141</v>
      </c>
      <c r="Q44" s="10"/>
      <c r="R44" s="11" t="s">
        <v>38</v>
      </c>
      <c r="S44" s="5" t="s">
        <v>36</v>
      </c>
      <c r="T44" s="10">
        <v>45950.0</v>
      </c>
      <c r="U44" s="20"/>
      <c r="V44" s="5" t="s">
        <v>143</v>
      </c>
      <c r="W44" s="10"/>
      <c r="X44" s="20"/>
      <c r="Y44" s="5" t="s">
        <v>51</v>
      </c>
      <c r="Z44" s="23">
        <v>45924.0</v>
      </c>
      <c r="AA44" s="11" t="s">
        <v>33</v>
      </c>
      <c r="AB44" s="32" t="s">
        <v>331</v>
      </c>
      <c r="AC44" s="5" t="s">
        <v>41</v>
      </c>
      <c r="AD44" s="23">
        <v>45925.0</v>
      </c>
      <c r="AE44" s="11" t="s">
        <v>33</v>
      </c>
    </row>
  </sheetData>
  <dataValidations>
    <dataValidation type="list" allowBlank="1" sqref="J2:J44 R2:R44 U2:U44 X2:X44 AA2:AA44">
      <formula1>"Concluído,Em Andamento,Pendente,Precisa de Alteração"</formula1>
    </dataValidation>
    <dataValidation type="custom" allowBlank="1" showDropDown="1" sqref="I2:I44 K2:K44 N2:N44 Q2:Q44 T2:T44 W2:W44 Z2:Z44 AD2:AD44">
      <formula1>OR(NOT(ISERROR(DATEVALUE(I2))), AND(ISNUMBER(I2), LEFT(CELL("format", I2))="D"))</formula1>
    </dataValidation>
    <dataValidation type="list" allowBlank="1" sqref="O2:O44 AE2:AE44">
      <formula1>"Concluído,Em Andamento,Pendente,Aguardando Correção"</formula1>
    </dataValidation>
    <dataValidation type="custom" allowBlank="1" showDropDown="1" sqref="F2:F44">
      <formula1>AND(ISNUMBER(F2),(NOT(OR(NOT(ISERROR(DATEVALUE(F2))), AND(ISNUMBER(F2), LEFT(CELL("format", F2))="D")))))</formula1>
    </dataValidation>
    <dataValidation type="list" allowBlank="1" sqref="L2:L44">
      <formula1>"No prazo,Atrasado,Concluído com Atraso"</formula1>
    </dataValidation>
  </dataValidations>
  <hyperlinks>
    <hyperlink r:id="rId1" ref="G2"/>
    <hyperlink r:id="rId2" ref="AB2"/>
    <hyperlink r:id="rId3" ref="G3"/>
    <hyperlink r:id="rId4" ref="AB3"/>
    <hyperlink r:id="rId5" ref="G4"/>
    <hyperlink r:id="rId6" ref="AB4"/>
    <hyperlink r:id="rId7" ref="G5"/>
    <hyperlink r:id="rId8" ref="AB5"/>
    <hyperlink r:id="rId9" ref="G6"/>
    <hyperlink r:id="rId10" ref="AB6"/>
    <hyperlink r:id="rId11" ref="G7"/>
    <hyperlink r:id="rId12" ref="AB7"/>
    <hyperlink r:id="rId13" ref="G8"/>
    <hyperlink r:id="rId14" ref="AB8"/>
    <hyperlink r:id="rId15" ref="G9"/>
    <hyperlink r:id="rId16" ref="AB9"/>
    <hyperlink r:id="rId17" ref="G10"/>
    <hyperlink r:id="rId18" ref="AB10"/>
    <hyperlink r:id="rId19" ref="G11"/>
    <hyperlink r:id="rId20" ref="AB11"/>
    <hyperlink r:id="rId21" ref="G12"/>
    <hyperlink r:id="rId22" ref="AB12"/>
    <hyperlink r:id="rId23" ref="G13"/>
    <hyperlink r:id="rId24" ref="AB13"/>
    <hyperlink r:id="rId25" ref="G14"/>
    <hyperlink r:id="rId26" ref="AB14"/>
    <hyperlink r:id="rId27" ref="G15"/>
    <hyperlink r:id="rId28" ref="AB15"/>
    <hyperlink r:id="rId29" ref="AB16"/>
    <hyperlink r:id="rId30" ref="G17"/>
    <hyperlink r:id="rId31" ref="AB17"/>
    <hyperlink r:id="rId32" ref="G18"/>
    <hyperlink r:id="rId33" ref="AB18"/>
    <hyperlink r:id="rId34" ref="G19"/>
    <hyperlink r:id="rId35" ref="AB19"/>
    <hyperlink r:id="rId36" ref="G20"/>
    <hyperlink r:id="rId37" ref="AB20"/>
    <hyperlink r:id="rId38" ref="G21"/>
    <hyperlink r:id="rId39" ref="AB21"/>
    <hyperlink r:id="rId40" ref="G22"/>
    <hyperlink r:id="rId41" ref="AB22"/>
    <hyperlink r:id="rId42" ref="G23"/>
    <hyperlink r:id="rId43" ref="AB23"/>
    <hyperlink r:id="rId44" ref="G24"/>
    <hyperlink r:id="rId45" ref="AB24"/>
    <hyperlink r:id="rId46" ref="G25"/>
    <hyperlink r:id="rId47" ref="AB25"/>
    <hyperlink r:id="rId48" ref="G26"/>
    <hyperlink r:id="rId49" ref="AB26"/>
    <hyperlink r:id="rId50" ref="G27"/>
    <hyperlink r:id="rId51" ref="AB27"/>
    <hyperlink r:id="rId52" ref="G28"/>
    <hyperlink r:id="rId53" ref="AB28"/>
    <hyperlink r:id="rId54" ref="G29"/>
    <hyperlink r:id="rId55" ref="AB29"/>
    <hyperlink r:id="rId56" ref="G30"/>
    <hyperlink r:id="rId57" ref="AB30"/>
    <hyperlink r:id="rId58" ref="AB31"/>
    <hyperlink r:id="rId59" ref="G32"/>
    <hyperlink r:id="rId60" ref="AB32"/>
    <hyperlink r:id="rId61" ref="G33"/>
    <hyperlink r:id="rId62" ref="AB33"/>
    <hyperlink r:id="rId63" ref="G34"/>
    <hyperlink r:id="rId64" ref="AB34"/>
    <hyperlink r:id="rId65" ref="G35"/>
    <hyperlink r:id="rId66" ref="AB35"/>
    <hyperlink r:id="rId67" ref="G36"/>
    <hyperlink r:id="rId68" ref="AB36"/>
    <hyperlink r:id="rId69" ref="G37"/>
    <hyperlink r:id="rId70" ref="AB37"/>
    <hyperlink r:id="rId71" ref="G38"/>
    <hyperlink r:id="rId72" ref="AB38"/>
    <hyperlink r:id="rId73" ref="G39"/>
    <hyperlink r:id="rId74" ref="AB39"/>
    <hyperlink r:id="rId75" ref="G40"/>
    <hyperlink r:id="rId76" ref="AB40"/>
    <hyperlink r:id="rId77" ref="G41"/>
    <hyperlink r:id="rId78" ref="AB41"/>
    <hyperlink r:id="rId79" ref="AB42"/>
    <hyperlink r:id="rId80" ref="G43"/>
    <hyperlink r:id="rId81" ref="AB43"/>
    <hyperlink r:id="rId82" ref="G44"/>
    <hyperlink r:id="rId83" ref="AB44"/>
  </hyperlinks>
  <drawing r:id="rId84"/>
  <tableParts count="1">
    <tablePart r:id="rId8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23.0"/>
    <col customWidth="1" min="2" max="2" width="10.63"/>
    <col customWidth="1" min="3" max="3" width="19.13"/>
    <col customWidth="1" min="4" max="4" width="20.38"/>
    <col customWidth="1" min="5" max="5" width="24.38"/>
    <col customWidth="1" min="6" max="6" width="7.75"/>
    <col customWidth="1" min="7" max="7" width="26.38"/>
    <col customWidth="1" min="8" max="8" width="16.25"/>
    <col customWidth="1" min="9" max="9" width="20.13"/>
    <col customWidth="1" min="10" max="10" width="21.75"/>
    <col customWidth="1" min="11" max="11" width="20.13"/>
    <col customWidth="1" min="12" max="12" width="21.75"/>
    <col customWidth="1" min="13" max="13" width="16.25"/>
    <col customWidth="1" min="14" max="14" width="20.13"/>
    <col customWidth="1" min="15" max="15" width="21.75"/>
    <col customWidth="1" min="16" max="16" width="16.63"/>
    <col customWidth="1" min="17" max="17" width="20.13"/>
    <col customWidth="1" min="18" max="18" width="21.75"/>
    <col customWidth="1" min="19" max="19" width="18.75"/>
    <col customWidth="1" min="20" max="20" width="20.13"/>
    <col customWidth="1" min="21" max="21" width="21.75"/>
    <col customWidth="1" min="22" max="22" width="16.25"/>
    <col customWidth="1" min="23" max="23" width="20.13"/>
    <col customWidth="1" min="24" max="24" width="21.75"/>
    <col customWidth="1" min="25" max="25" width="19.5"/>
    <col customWidth="1" min="26" max="26" width="20.13"/>
    <col customWidth="1" min="27" max="27" width="21.75"/>
    <col customWidth="1" min="28" max="28" width="30.13"/>
    <col customWidth="1" min="29" max="29" width="16.25"/>
    <col customWidth="1" min="30" max="30" width="20.13"/>
    <col customWidth="1" min="31" max="31" width="21.75"/>
  </cols>
  <sheetData>
    <row r="1" ht="22.5" customHeight="1">
      <c r="A1" s="1" t="s">
        <v>135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136</v>
      </c>
      <c r="L1" s="1" t="s">
        <v>137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138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4" t="s">
        <v>25</v>
      </c>
      <c r="AC1" s="1" t="s">
        <v>26</v>
      </c>
      <c r="AD1" s="1" t="s">
        <v>27</v>
      </c>
      <c r="AE1" s="1" t="s">
        <v>28</v>
      </c>
    </row>
    <row r="2" ht="22.5" customHeight="1">
      <c r="A2" s="5">
        <v>4.0</v>
      </c>
      <c r="B2" s="21">
        <v>1.0</v>
      </c>
      <c r="C2" s="5" t="s">
        <v>332</v>
      </c>
      <c r="D2" s="16" t="s">
        <v>30</v>
      </c>
      <c r="E2" s="7" t="str">
        <f>IFERROR(__xludf.DUMMYFUNCTION("IF(AND(F2 &gt; 0.3, F2 &lt; 0.5), SPARKLINE(F2,{""charttype"",""bar"";""color1"",""Gold"";""max"",1}),
IF(F2 = 1, SPARKLINE(F2,{""charttype"",""bar"";""color1"",""Lime"";""max"",1}),
IF(F2 &gt;= 0.5, SPARKLINE(F2,{""charttype"",""bar"";""color1"",""GreenYellow"";"&amp;"""max"",1}),
SPARKLINE(F2,{""charttype"",""bar"";""color1"",""DarkOrange"";""max"",1}))))"),"")</f>
        <v/>
      </c>
      <c r="F2" s="8">
        <f t="shared" ref="F2:F42" si="1">IF(OR(D2="ROTEIRO DE VÍDEO", D2="VÍDEO"), (IF(J2="Concluído", 1, 0) + IF(O2="Concluído", 1, 0) + IF(R2="Concluído", 1, 0) + IF(U2="Concluído", 1, 0) + IF(AA2="Concluído", 1, 0) + IF(AE2="Concluído", 1, 0)) / 6,
IF(OR(D2="SLIDE", D2="FÓRUM", D2="PLANO DE AULA", D2="QUIZ", D2="TAREFA", D2="EBOOK", D2="PDF(AVULSO)"), (IF(J2="Concluído", 1, 0) + IF(O2="Concluído", 1, 0) + IF(U2="Concluído", 1, 0)  + IF(AA2="Concluído", 1, 0) + IF(AE2="Concluído", 1, 0)) / 5,0))</f>
        <v>1</v>
      </c>
      <c r="G2" s="14" t="s">
        <v>333</v>
      </c>
      <c r="H2" s="5" t="s">
        <v>141</v>
      </c>
      <c r="I2" s="10">
        <v>45923.0</v>
      </c>
      <c r="J2" s="11" t="s">
        <v>33</v>
      </c>
      <c r="K2" s="10">
        <v>45923.0</v>
      </c>
      <c r="L2" s="22" t="s">
        <v>142</v>
      </c>
      <c r="M2" s="5" t="s">
        <v>34</v>
      </c>
      <c r="N2" s="10">
        <v>45924.0</v>
      </c>
      <c r="O2" s="11" t="s">
        <v>33</v>
      </c>
      <c r="P2" s="5" t="s">
        <v>141</v>
      </c>
      <c r="Q2" s="10">
        <v>45925.0</v>
      </c>
      <c r="R2" s="11" t="s">
        <v>33</v>
      </c>
      <c r="S2" s="5" t="s">
        <v>36</v>
      </c>
      <c r="T2" s="10">
        <v>45950.0</v>
      </c>
      <c r="U2" s="11" t="s">
        <v>33</v>
      </c>
      <c r="V2" s="5" t="s">
        <v>143</v>
      </c>
      <c r="W2" s="10"/>
      <c r="X2" s="11" t="s">
        <v>38</v>
      </c>
      <c r="Y2" s="9" t="s">
        <v>334</v>
      </c>
      <c r="Z2" s="23">
        <v>45929.0</v>
      </c>
      <c r="AA2" s="24" t="s">
        <v>33</v>
      </c>
      <c r="AB2" s="28" t="s">
        <v>335</v>
      </c>
      <c r="AC2" s="26" t="s">
        <v>41</v>
      </c>
      <c r="AD2" s="23">
        <v>45930.0</v>
      </c>
      <c r="AE2" s="11" t="s">
        <v>33</v>
      </c>
    </row>
    <row r="3" ht="22.5" customHeight="1">
      <c r="A3" s="5">
        <v>4.0</v>
      </c>
      <c r="B3" s="21">
        <v>1.0</v>
      </c>
      <c r="C3" s="5" t="s">
        <v>336</v>
      </c>
      <c r="D3" s="16" t="s">
        <v>30</v>
      </c>
      <c r="E3" s="7" t="str">
        <f>IFERROR(__xludf.DUMMYFUNCTION("IF(AND(F3 &gt; 0.3, F3 &lt; 0.5), SPARKLINE(F3,{""charttype"",""bar"";""color1"",""Gold"";""max"",1}),
IF(F3 = 1, SPARKLINE(F3,{""charttype"",""bar"";""color1"",""Lime"";""max"",1}),
IF(F3 &gt;= 0.5, SPARKLINE(F3,{""charttype"",""bar"";""color1"",""GreenYellow"";"&amp;"""max"",1}),
SPARKLINE(F3,{""charttype"",""bar"";""color1"",""DarkOrange"";""max"",1}))))"),"")</f>
        <v/>
      </c>
      <c r="F3" s="8">
        <f t="shared" si="1"/>
        <v>1</v>
      </c>
      <c r="G3" s="14" t="s">
        <v>337</v>
      </c>
      <c r="H3" s="5" t="s">
        <v>141</v>
      </c>
      <c r="I3" s="10">
        <v>45923.0</v>
      </c>
      <c r="J3" s="11" t="s">
        <v>33</v>
      </c>
      <c r="K3" s="10">
        <v>45923.0</v>
      </c>
      <c r="L3" s="27" t="s">
        <v>142</v>
      </c>
      <c r="M3" s="5" t="s">
        <v>34</v>
      </c>
      <c r="N3" s="10">
        <v>45924.0</v>
      </c>
      <c r="O3" s="11" t="s">
        <v>33</v>
      </c>
      <c r="P3" s="5" t="s">
        <v>141</v>
      </c>
      <c r="Q3" s="10">
        <v>45925.0</v>
      </c>
      <c r="R3" s="11" t="s">
        <v>33</v>
      </c>
      <c r="S3" s="5" t="s">
        <v>36</v>
      </c>
      <c r="T3" s="10">
        <v>45950.0</v>
      </c>
      <c r="U3" s="11" t="s">
        <v>33</v>
      </c>
      <c r="V3" s="5" t="s">
        <v>143</v>
      </c>
      <c r="W3" s="10"/>
      <c r="X3" s="11" t="s">
        <v>38</v>
      </c>
      <c r="Y3" s="9" t="s">
        <v>334</v>
      </c>
      <c r="Z3" s="23">
        <v>45929.0</v>
      </c>
      <c r="AA3" s="24" t="s">
        <v>33</v>
      </c>
      <c r="AB3" s="28" t="s">
        <v>338</v>
      </c>
      <c r="AC3" s="26" t="s">
        <v>41</v>
      </c>
      <c r="AD3" s="23">
        <v>45930.0</v>
      </c>
      <c r="AE3" s="11" t="s">
        <v>33</v>
      </c>
    </row>
    <row r="4" ht="22.5" customHeight="1">
      <c r="A4" s="5">
        <v>4.0</v>
      </c>
      <c r="B4" s="21">
        <v>1.0</v>
      </c>
      <c r="C4" s="5" t="s">
        <v>339</v>
      </c>
      <c r="D4" s="16" t="s">
        <v>30</v>
      </c>
      <c r="E4" s="7" t="str">
        <f>IFERROR(__xludf.DUMMYFUNCTION("IF(AND(F4 &gt; 0.3, F4 &lt; 0.5), SPARKLINE(F4,{""charttype"",""bar"";""color1"",""Gold"";""max"",1}),
IF(F4 = 1, SPARKLINE(F4,{""charttype"",""bar"";""color1"",""Lime"";""max"",1}),
IF(F4 &gt;= 0.5, SPARKLINE(F4,{""charttype"",""bar"";""color1"",""GreenYellow"";"&amp;"""max"",1}),
SPARKLINE(F4,{""charttype"",""bar"";""color1"",""DarkOrange"";""max"",1}))))"),"")</f>
        <v/>
      </c>
      <c r="F4" s="8">
        <f t="shared" si="1"/>
        <v>1</v>
      </c>
      <c r="G4" s="14" t="s">
        <v>340</v>
      </c>
      <c r="H4" s="5" t="s">
        <v>141</v>
      </c>
      <c r="I4" s="10">
        <v>45923.0</v>
      </c>
      <c r="J4" s="11" t="s">
        <v>33</v>
      </c>
      <c r="K4" s="10">
        <v>45923.0</v>
      </c>
      <c r="L4" s="27" t="s">
        <v>142</v>
      </c>
      <c r="M4" s="5" t="s">
        <v>34</v>
      </c>
      <c r="N4" s="10">
        <v>45924.0</v>
      </c>
      <c r="O4" s="11" t="s">
        <v>33</v>
      </c>
      <c r="P4" s="5" t="s">
        <v>141</v>
      </c>
      <c r="Q4" s="10">
        <v>45925.0</v>
      </c>
      <c r="R4" s="11" t="s">
        <v>33</v>
      </c>
      <c r="S4" s="5" t="s">
        <v>36</v>
      </c>
      <c r="T4" s="10">
        <v>45950.0</v>
      </c>
      <c r="U4" s="11" t="s">
        <v>33</v>
      </c>
      <c r="V4" s="5" t="s">
        <v>143</v>
      </c>
      <c r="W4" s="10"/>
      <c r="X4" s="11" t="s">
        <v>38</v>
      </c>
      <c r="Y4" s="9" t="s">
        <v>334</v>
      </c>
      <c r="Z4" s="23">
        <v>45929.0</v>
      </c>
      <c r="AA4" s="24" t="s">
        <v>33</v>
      </c>
      <c r="AB4" s="28" t="s">
        <v>341</v>
      </c>
      <c r="AC4" s="26" t="s">
        <v>41</v>
      </c>
      <c r="AD4" s="23">
        <v>45930.0</v>
      </c>
      <c r="AE4" s="11" t="s">
        <v>33</v>
      </c>
    </row>
    <row r="5" ht="22.5" hidden="1" customHeight="1">
      <c r="A5" s="5">
        <v>4.0</v>
      </c>
      <c r="B5" s="21">
        <v>1.0</v>
      </c>
      <c r="C5" s="5" t="s">
        <v>342</v>
      </c>
      <c r="D5" s="16" t="s">
        <v>49</v>
      </c>
      <c r="E5" s="7" t="str">
        <f>IFERROR(__xludf.DUMMYFUNCTION("IF(AND(F5 &gt; 0.3, F5 &lt; 0.5), SPARKLINE(F5,{""charttype"",""bar"";""color1"",""Gold"";""max"",1}),
IF(F5 = 1, SPARKLINE(F5,{""charttype"",""bar"";""color1"",""Lime"";""max"",1}),
IF(F5 &gt;= 0.5, SPARKLINE(F5,{""charttype"",""bar"";""color1"",""GreenYellow"";"&amp;"""max"",1}),
SPARKLINE(F5,{""charttype"",""bar"";""color1"",""DarkOrange"";""max"",1}))))"),"")</f>
        <v/>
      </c>
      <c r="F5" s="8">
        <f t="shared" si="1"/>
        <v>1</v>
      </c>
      <c r="G5" s="14" t="s">
        <v>343</v>
      </c>
      <c r="H5" s="5" t="s">
        <v>141</v>
      </c>
      <c r="I5" s="10">
        <v>45923.0</v>
      </c>
      <c r="J5" s="11" t="s">
        <v>33</v>
      </c>
      <c r="K5" s="10">
        <v>45923.0</v>
      </c>
      <c r="L5" s="27" t="s">
        <v>142</v>
      </c>
      <c r="M5" s="5" t="s">
        <v>34</v>
      </c>
      <c r="N5" s="10">
        <v>45924.0</v>
      </c>
      <c r="O5" s="11" t="s">
        <v>33</v>
      </c>
      <c r="P5" s="5"/>
      <c r="Q5" s="10"/>
      <c r="R5" s="11" t="s">
        <v>38</v>
      </c>
      <c r="S5" s="5" t="s">
        <v>36</v>
      </c>
      <c r="T5" s="10">
        <v>45950.0</v>
      </c>
      <c r="U5" s="11" t="s">
        <v>33</v>
      </c>
      <c r="V5" s="5" t="s">
        <v>143</v>
      </c>
      <c r="W5" s="10"/>
      <c r="X5" s="11" t="s">
        <v>38</v>
      </c>
      <c r="Y5" s="34" t="s">
        <v>344</v>
      </c>
      <c r="Z5" s="23">
        <v>45929.0</v>
      </c>
      <c r="AA5" s="24" t="s">
        <v>33</v>
      </c>
      <c r="AB5" s="28" t="s">
        <v>345</v>
      </c>
      <c r="AC5" s="26" t="s">
        <v>41</v>
      </c>
      <c r="AD5" s="23">
        <v>45930.0</v>
      </c>
      <c r="AE5" s="11" t="s">
        <v>33</v>
      </c>
    </row>
    <row r="6" ht="22.5" hidden="1" customHeight="1">
      <c r="A6" s="5">
        <v>4.0</v>
      </c>
      <c r="B6" s="21">
        <v>1.0</v>
      </c>
      <c r="C6" s="5" t="s">
        <v>346</v>
      </c>
      <c r="D6" s="16" t="s">
        <v>49</v>
      </c>
      <c r="E6" s="7" t="str">
        <f>IFERROR(__xludf.DUMMYFUNCTION("IF(AND(F6 &gt; 0.3, F6 &lt; 0.5), SPARKLINE(F6,{""charttype"",""bar"";""color1"",""Gold"";""max"",1}),
IF(F6 = 1, SPARKLINE(F6,{""charttype"",""bar"";""color1"",""Lime"";""max"",1}),
IF(F6 &gt;= 0.5, SPARKLINE(F6,{""charttype"",""bar"";""color1"",""GreenYellow"";"&amp;"""max"",1}),
SPARKLINE(F6,{""charttype"",""bar"";""color1"",""DarkOrange"";""max"",1}))))"),"")</f>
        <v/>
      </c>
      <c r="F6" s="8">
        <f t="shared" si="1"/>
        <v>1</v>
      </c>
      <c r="G6" s="14" t="s">
        <v>347</v>
      </c>
      <c r="H6" s="5" t="s">
        <v>141</v>
      </c>
      <c r="I6" s="10">
        <v>45923.0</v>
      </c>
      <c r="J6" s="11" t="s">
        <v>33</v>
      </c>
      <c r="K6" s="10">
        <v>45923.0</v>
      </c>
      <c r="L6" s="27" t="s">
        <v>142</v>
      </c>
      <c r="M6" s="5" t="s">
        <v>34</v>
      </c>
      <c r="N6" s="10">
        <v>45924.0</v>
      </c>
      <c r="O6" s="11" t="s">
        <v>33</v>
      </c>
      <c r="P6" s="5"/>
      <c r="Q6" s="10"/>
      <c r="R6" s="11" t="s">
        <v>38</v>
      </c>
      <c r="S6" s="5" t="s">
        <v>36</v>
      </c>
      <c r="T6" s="10">
        <v>45950.0</v>
      </c>
      <c r="U6" s="11" t="s">
        <v>33</v>
      </c>
      <c r="V6" s="5" t="s">
        <v>143</v>
      </c>
      <c r="W6" s="10"/>
      <c r="X6" s="11" t="s">
        <v>38</v>
      </c>
      <c r="Y6" s="34" t="s">
        <v>344</v>
      </c>
      <c r="Z6" s="23">
        <v>45929.0</v>
      </c>
      <c r="AA6" s="24" t="s">
        <v>33</v>
      </c>
      <c r="AB6" s="28" t="s">
        <v>348</v>
      </c>
      <c r="AC6" s="26" t="s">
        <v>41</v>
      </c>
      <c r="AD6" s="23">
        <v>45930.0</v>
      </c>
      <c r="AE6" s="11" t="s">
        <v>33</v>
      </c>
    </row>
    <row r="7" ht="22.5" hidden="1" customHeight="1">
      <c r="A7" s="5">
        <v>4.0</v>
      </c>
      <c r="B7" s="21">
        <v>1.0</v>
      </c>
      <c r="C7" s="5" t="s">
        <v>349</v>
      </c>
      <c r="D7" s="16" t="s">
        <v>60</v>
      </c>
      <c r="E7" s="7" t="str">
        <f>IFERROR(__xludf.DUMMYFUNCTION("IF(AND(F7 &gt; 0.3, F7 &lt; 0.5), SPARKLINE(F7,{""charttype"",""bar"";""color1"",""Gold"";""max"",1}),
IF(F7 = 1, SPARKLINE(F7,{""charttype"",""bar"";""color1"",""Lime"";""max"",1}),
IF(F7 &gt;= 0.5, SPARKLINE(F7,{""charttype"",""bar"";""color1"",""GreenYellow"";"&amp;"""max"",1}),
SPARKLINE(F7,{""charttype"",""bar"";""color1"",""DarkOrange"";""max"",1}))))"),"")</f>
        <v/>
      </c>
      <c r="F7" s="8">
        <f t="shared" si="1"/>
        <v>1</v>
      </c>
      <c r="G7" s="14" t="s">
        <v>350</v>
      </c>
      <c r="H7" s="5" t="s">
        <v>141</v>
      </c>
      <c r="I7" s="10">
        <v>45923.0</v>
      </c>
      <c r="J7" s="11" t="s">
        <v>33</v>
      </c>
      <c r="K7" s="10">
        <v>45923.0</v>
      </c>
      <c r="L7" s="27" t="s">
        <v>142</v>
      </c>
      <c r="M7" s="5" t="s">
        <v>34</v>
      </c>
      <c r="N7" s="10">
        <v>45924.0</v>
      </c>
      <c r="O7" s="11" t="s">
        <v>33</v>
      </c>
      <c r="P7" s="5"/>
      <c r="Q7" s="10"/>
      <c r="R7" s="11" t="s">
        <v>38</v>
      </c>
      <c r="S7" s="5" t="s">
        <v>36</v>
      </c>
      <c r="T7" s="10">
        <v>45950.0</v>
      </c>
      <c r="U7" s="11" t="s">
        <v>33</v>
      </c>
      <c r="V7" s="5" t="s">
        <v>143</v>
      </c>
      <c r="W7" s="10"/>
      <c r="X7" s="11" t="s">
        <v>38</v>
      </c>
      <c r="Y7" s="34" t="s">
        <v>344</v>
      </c>
      <c r="Z7" s="23">
        <v>45929.0</v>
      </c>
      <c r="AA7" s="24" t="s">
        <v>33</v>
      </c>
      <c r="AB7" s="28" t="s">
        <v>351</v>
      </c>
      <c r="AC7" s="26" t="s">
        <v>41</v>
      </c>
      <c r="AD7" s="23">
        <v>45930.0</v>
      </c>
      <c r="AE7" s="11" t="s">
        <v>33</v>
      </c>
    </row>
    <row r="8" ht="22.5" hidden="1" customHeight="1">
      <c r="A8" s="5">
        <v>4.0</v>
      </c>
      <c r="B8" s="21">
        <v>1.0</v>
      </c>
      <c r="C8" s="5" t="s">
        <v>352</v>
      </c>
      <c r="D8" s="16" t="s">
        <v>64</v>
      </c>
      <c r="E8" s="7" t="str">
        <f>IFERROR(__xludf.DUMMYFUNCTION("IF(AND(F8 &gt; 0.3, F8 &lt; 0.5), SPARKLINE(F8,{""charttype"",""bar"";""color1"",""Gold"";""max"",1}),
IF(F8 = 1, SPARKLINE(F8,{""charttype"",""bar"";""color1"",""Lime"";""max"",1}),
IF(F8 &gt;= 0.5, SPARKLINE(F8,{""charttype"",""bar"";""color1"",""GreenYellow"";"&amp;"""max"",1}),
SPARKLINE(F8,{""charttype"",""bar"";""color1"",""DarkOrange"";""max"",1}))))"),"")</f>
        <v/>
      </c>
      <c r="F8" s="8">
        <f t="shared" si="1"/>
        <v>1</v>
      </c>
      <c r="G8" s="14" t="s">
        <v>353</v>
      </c>
      <c r="H8" s="5" t="s">
        <v>141</v>
      </c>
      <c r="I8" s="10">
        <v>45923.0</v>
      </c>
      <c r="J8" s="11" t="s">
        <v>33</v>
      </c>
      <c r="K8" s="10">
        <v>45923.0</v>
      </c>
      <c r="L8" s="27" t="s">
        <v>142</v>
      </c>
      <c r="M8" s="5" t="s">
        <v>34</v>
      </c>
      <c r="N8" s="10">
        <v>45924.0</v>
      </c>
      <c r="O8" s="11" t="s">
        <v>33</v>
      </c>
      <c r="P8" s="5"/>
      <c r="Q8" s="10"/>
      <c r="R8" s="11" t="s">
        <v>38</v>
      </c>
      <c r="S8" s="5" t="s">
        <v>36</v>
      </c>
      <c r="T8" s="10">
        <v>45950.0</v>
      </c>
      <c r="U8" s="11" t="s">
        <v>33</v>
      </c>
      <c r="V8" s="5" t="s">
        <v>143</v>
      </c>
      <c r="W8" s="10"/>
      <c r="X8" s="11" t="s">
        <v>38</v>
      </c>
      <c r="Y8" s="34" t="s">
        <v>344</v>
      </c>
      <c r="Z8" s="23">
        <v>45929.0</v>
      </c>
      <c r="AA8" s="24" t="s">
        <v>33</v>
      </c>
      <c r="AB8" s="28" t="s">
        <v>354</v>
      </c>
      <c r="AC8" s="26" t="s">
        <v>41</v>
      </c>
      <c r="AD8" s="23">
        <v>45930.0</v>
      </c>
      <c r="AE8" s="11" t="s">
        <v>33</v>
      </c>
    </row>
    <row r="9" ht="22.5" hidden="1" customHeight="1">
      <c r="A9" s="5">
        <v>4.0</v>
      </c>
      <c r="B9" s="21">
        <v>1.0</v>
      </c>
      <c r="C9" s="5" t="s">
        <v>355</v>
      </c>
      <c r="D9" s="16" t="s">
        <v>169</v>
      </c>
      <c r="E9" s="7" t="str">
        <f>IFERROR(__xludf.DUMMYFUNCTION("IF(AND(F9 &gt; 0.3, F9 &lt; 0.5), SPARKLINE(F9,{""charttype"",""bar"";""color1"",""Gold"";""max"",1}),
IF(F9 = 1, SPARKLINE(F9,{""charttype"",""bar"";""color1"",""Lime"";""max"",1}),
IF(F9 &gt;= 0.5, SPARKLINE(F9,{""charttype"",""bar"";""color1"",""GreenYellow"";"&amp;"""max"",1}),
SPARKLINE(F9,{""charttype"",""bar"";""color1"",""DarkOrange"";""max"",1}))))"),"")</f>
        <v/>
      </c>
      <c r="F9" s="8">
        <f t="shared" si="1"/>
        <v>1</v>
      </c>
      <c r="G9" s="19"/>
      <c r="H9" s="5" t="s">
        <v>141</v>
      </c>
      <c r="I9" s="10">
        <v>45923.0</v>
      </c>
      <c r="J9" s="11" t="s">
        <v>33</v>
      </c>
      <c r="K9" s="10">
        <v>45923.0</v>
      </c>
      <c r="L9" s="27" t="s">
        <v>142</v>
      </c>
      <c r="M9" s="5" t="s">
        <v>34</v>
      </c>
      <c r="N9" s="10">
        <v>45924.0</v>
      </c>
      <c r="O9" s="11" t="s">
        <v>33</v>
      </c>
      <c r="P9" s="5" t="s">
        <v>141</v>
      </c>
      <c r="Q9" s="10">
        <v>45925.0</v>
      </c>
      <c r="R9" s="11" t="s">
        <v>33</v>
      </c>
      <c r="S9" s="5" t="s">
        <v>36</v>
      </c>
      <c r="T9" s="10">
        <v>45950.0</v>
      </c>
      <c r="U9" s="11" t="s">
        <v>33</v>
      </c>
      <c r="V9" s="5" t="s">
        <v>143</v>
      </c>
      <c r="W9" s="10"/>
      <c r="X9" s="11" t="s">
        <v>38</v>
      </c>
      <c r="Y9" s="9" t="s">
        <v>334</v>
      </c>
      <c r="Z9" s="23">
        <v>45929.0</v>
      </c>
      <c r="AA9" s="24" t="s">
        <v>33</v>
      </c>
      <c r="AB9" s="28" t="s">
        <v>356</v>
      </c>
      <c r="AC9" s="26" t="s">
        <v>41</v>
      </c>
      <c r="AD9" s="23">
        <v>45930.0</v>
      </c>
      <c r="AE9" s="11" t="s">
        <v>33</v>
      </c>
    </row>
    <row r="10" ht="22.5" hidden="1" customHeight="1">
      <c r="A10" s="5">
        <v>4.0</v>
      </c>
      <c r="B10" s="21">
        <v>1.0</v>
      </c>
      <c r="C10" s="5" t="s">
        <v>357</v>
      </c>
      <c r="D10" s="16" t="s">
        <v>72</v>
      </c>
      <c r="E10" s="7" t="str">
        <f>IFERROR(__xludf.DUMMYFUNCTION("IF(AND(F10 &gt; 0.3, F10 &lt; 0.5), SPARKLINE(F10,{""charttype"",""bar"";""color1"",""Gold"";""max"",1}),
IF(F10 = 1, SPARKLINE(F10,{""charttype"",""bar"";""color1"",""Lime"";""max"",1}),
IF(F10 &gt;= 0.5, SPARKLINE(F10,{""charttype"",""bar"";""color1"",""GreenYel"&amp;"low"";""max"",1}),
SPARKLINE(F10,{""charttype"",""bar"";""color1"",""DarkOrange"";""max"",1}))))"),"")</f>
        <v/>
      </c>
      <c r="F10" s="8">
        <f t="shared" si="1"/>
        <v>1</v>
      </c>
      <c r="G10" s="14" t="s">
        <v>358</v>
      </c>
      <c r="H10" s="5" t="s">
        <v>141</v>
      </c>
      <c r="I10" s="10">
        <v>45923.0</v>
      </c>
      <c r="J10" s="11" t="s">
        <v>33</v>
      </c>
      <c r="K10" s="10">
        <v>45923.0</v>
      </c>
      <c r="L10" s="27" t="s">
        <v>142</v>
      </c>
      <c r="M10" s="5" t="s">
        <v>34</v>
      </c>
      <c r="N10" s="10">
        <v>45924.0</v>
      </c>
      <c r="O10" s="11" t="s">
        <v>33</v>
      </c>
      <c r="P10" s="5"/>
      <c r="Q10" s="10"/>
      <c r="R10" s="11" t="s">
        <v>38</v>
      </c>
      <c r="S10" s="5" t="s">
        <v>36</v>
      </c>
      <c r="T10" s="10">
        <v>45950.0</v>
      </c>
      <c r="U10" s="11" t="s">
        <v>33</v>
      </c>
      <c r="V10" s="5" t="s">
        <v>143</v>
      </c>
      <c r="W10" s="10"/>
      <c r="X10" s="11" t="s">
        <v>38</v>
      </c>
      <c r="Y10" s="34" t="s">
        <v>344</v>
      </c>
      <c r="Z10" s="23">
        <v>45929.0</v>
      </c>
      <c r="AA10" s="24" t="s">
        <v>33</v>
      </c>
      <c r="AB10" s="28" t="s">
        <v>359</v>
      </c>
      <c r="AC10" s="26" t="s">
        <v>41</v>
      </c>
      <c r="AD10" s="23">
        <v>45930.0</v>
      </c>
      <c r="AE10" s="11" t="s">
        <v>33</v>
      </c>
    </row>
    <row r="11" ht="22.5" hidden="1" customHeight="1">
      <c r="A11" s="5">
        <v>4.0</v>
      </c>
      <c r="B11" s="21">
        <v>1.0</v>
      </c>
      <c r="C11" s="5" t="s">
        <v>360</v>
      </c>
      <c r="D11" s="16" t="s">
        <v>68</v>
      </c>
      <c r="E11" s="7" t="str">
        <f>IFERROR(__xludf.DUMMYFUNCTION("IF(AND(F11 &gt; 0.3, F11 &lt; 0.5), SPARKLINE(F11,{""charttype"",""bar"";""color1"",""Gold"";""max"",1}),
IF(F11 = 1, SPARKLINE(F11,{""charttype"",""bar"";""color1"",""Lime"";""max"",1}),
IF(F11 &gt;= 0.5, SPARKLINE(F11,{""charttype"",""bar"";""color1"",""GreenYel"&amp;"low"";""max"",1}),
SPARKLINE(F11,{""charttype"",""bar"";""color1"",""DarkOrange"";""max"",1}))))"),"")</f>
        <v/>
      </c>
      <c r="F11" s="8">
        <f t="shared" si="1"/>
        <v>1</v>
      </c>
      <c r="G11" s="14" t="s">
        <v>361</v>
      </c>
      <c r="H11" s="5" t="s">
        <v>141</v>
      </c>
      <c r="I11" s="10">
        <v>45923.0</v>
      </c>
      <c r="J11" s="11" t="s">
        <v>33</v>
      </c>
      <c r="K11" s="10">
        <v>45923.0</v>
      </c>
      <c r="L11" s="27" t="s">
        <v>142</v>
      </c>
      <c r="M11" s="5" t="s">
        <v>34</v>
      </c>
      <c r="N11" s="10">
        <v>45924.0</v>
      </c>
      <c r="O11" s="11" t="s">
        <v>33</v>
      </c>
      <c r="P11" s="5"/>
      <c r="Q11" s="10"/>
      <c r="R11" s="11" t="s">
        <v>38</v>
      </c>
      <c r="S11" s="5" t="s">
        <v>36</v>
      </c>
      <c r="T11" s="10">
        <v>45950.0</v>
      </c>
      <c r="U11" s="11" t="s">
        <v>33</v>
      </c>
      <c r="V11" s="5" t="s">
        <v>143</v>
      </c>
      <c r="W11" s="10"/>
      <c r="X11" s="11" t="s">
        <v>38</v>
      </c>
      <c r="Y11" s="34" t="s">
        <v>344</v>
      </c>
      <c r="Z11" s="23">
        <v>45929.0</v>
      </c>
      <c r="AA11" s="24" t="s">
        <v>33</v>
      </c>
      <c r="AB11" s="28" t="s">
        <v>362</v>
      </c>
      <c r="AC11" s="26" t="s">
        <v>41</v>
      </c>
      <c r="AD11" s="23">
        <v>45930.0</v>
      </c>
      <c r="AE11" s="11" t="s">
        <v>33</v>
      </c>
    </row>
    <row r="12" ht="22.5" customHeight="1">
      <c r="A12" s="5">
        <v>4.0</v>
      </c>
      <c r="B12" s="21">
        <v>2.0</v>
      </c>
      <c r="C12" s="5" t="s">
        <v>363</v>
      </c>
      <c r="D12" s="16" t="s">
        <v>30</v>
      </c>
      <c r="E12" s="7" t="str">
        <f>IFERROR(__xludf.DUMMYFUNCTION("IF(AND(F12 &gt; 0.3, F12 &lt; 0.5), SPARKLINE(F12,{""charttype"",""bar"";""color1"",""Gold"";""max"",1}),
IF(F12 = 1, SPARKLINE(F12,{""charttype"",""bar"";""color1"",""Lime"";""max"",1}),
IF(F12 &gt;= 0.5, SPARKLINE(F12,{""charttype"",""bar"";""color1"",""GreenYel"&amp;"low"";""max"",1}),
SPARKLINE(F12,{""charttype"",""bar"";""color1"",""DarkOrange"";""max"",1}))))"),"")</f>
        <v/>
      </c>
      <c r="F12" s="8">
        <f t="shared" si="1"/>
        <v>1</v>
      </c>
      <c r="G12" s="14" t="s">
        <v>364</v>
      </c>
      <c r="H12" s="5" t="s">
        <v>141</v>
      </c>
      <c r="I12" s="10">
        <v>45926.0</v>
      </c>
      <c r="J12" s="11" t="s">
        <v>33</v>
      </c>
      <c r="K12" s="10">
        <v>45926.0</v>
      </c>
      <c r="L12" s="27" t="s">
        <v>142</v>
      </c>
      <c r="M12" s="5" t="s">
        <v>34</v>
      </c>
      <c r="N12" s="10">
        <v>45929.0</v>
      </c>
      <c r="O12" s="11" t="s">
        <v>33</v>
      </c>
      <c r="P12" s="5" t="s">
        <v>141</v>
      </c>
      <c r="Q12" s="10">
        <v>45930.0</v>
      </c>
      <c r="R12" s="11" t="s">
        <v>33</v>
      </c>
      <c r="S12" s="5" t="s">
        <v>36</v>
      </c>
      <c r="T12" s="10">
        <v>45950.0</v>
      </c>
      <c r="U12" s="11" t="s">
        <v>33</v>
      </c>
      <c r="V12" s="5" t="s">
        <v>143</v>
      </c>
      <c r="W12" s="10"/>
      <c r="X12" s="11" t="s">
        <v>38</v>
      </c>
      <c r="Y12" s="9" t="s">
        <v>334</v>
      </c>
      <c r="Z12" s="23">
        <v>45932.0</v>
      </c>
      <c r="AA12" s="24" t="s">
        <v>33</v>
      </c>
      <c r="AB12" s="28" t="s">
        <v>365</v>
      </c>
      <c r="AC12" s="26" t="s">
        <v>41</v>
      </c>
      <c r="AD12" s="23">
        <v>45933.0</v>
      </c>
      <c r="AE12" s="11" t="s">
        <v>33</v>
      </c>
    </row>
    <row r="13" ht="22.5" customHeight="1">
      <c r="A13" s="5">
        <v>4.0</v>
      </c>
      <c r="B13" s="21">
        <v>2.0</v>
      </c>
      <c r="C13" s="5" t="s">
        <v>366</v>
      </c>
      <c r="D13" s="16" t="s">
        <v>30</v>
      </c>
      <c r="E13" s="7" t="str">
        <f>IFERROR(__xludf.DUMMYFUNCTION("IF(AND(F13 &gt; 0.3, F13 &lt; 0.5), SPARKLINE(F13,{""charttype"",""bar"";""color1"",""Gold"";""max"",1}),
IF(F13 = 1, SPARKLINE(F13,{""charttype"",""bar"";""color1"",""Lime"";""max"",1}),
IF(F13 &gt;= 0.5, SPARKLINE(F13,{""charttype"",""bar"";""color1"",""GreenYel"&amp;"low"";""max"",1}),
SPARKLINE(F13,{""charttype"",""bar"";""color1"",""DarkOrange"";""max"",1}))))"),"")</f>
        <v/>
      </c>
      <c r="F13" s="8">
        <f t="shared" si="1"/>
        <v>1</v>
      </c>
      <c r="G13" s="14" t="s">
        <v>367</v>
      </c>
      <c r="H13" s="5" t="s">
        <v>141</v>
      </c>
      <c r="I13" s="10">
        <v>45926.0</v>
      </c>
      <c r="J13" s="11" t="s">
        <v>33</v>
      </c>
      <c r="K13" s="10">
        <v>45926.0</v>
      </c>
      <c r="L13" s="27" t="s">
        <v>142</v>
      </c>
      <c r="M13" s="5" t="s">
        <v>34</v>
      </c>
      <c r="N13" s="10">
        <v>45929.0</v>
      </c>
      <c r="O13" s="11" t="s">
        <v>33</v>
      </c>
      <c r="P13" s="5" t="s">
        <v>141</v>
      </c>
      <c r="Q13" s="10">
        <v>45930.0</v>
      </c>
      <c r="R13" s="11" t="s">
        <v>33</v>
      </c>
      <c r="S13" s="5" t="s">
        <v>36</v>
      </c>
      <c r="T13" s="10">
        <v>45950.0</v>
      </c>
      <c r="U13" s="11" t="s">
        <v>33</v>
      </c>
      <c r="V13" s="5" t="s">
        <v>143</v>
      </c>
      <c r="W13" s="10"/>
      <c r="X13" s="11" t="s">
        <v>38</v>
      </c>
      <c r="Y13" s="9" t="s">
        <v>334</v>
      </c>
      <c r="Z13" s="23">
        <v>45932.0</v>
      </c>
      <c r="AA13" s="24" t="s">
        <v>33</v>
      </c>
      <c r="AB13" s="28" t="s">
        <v>368</v>
      </c>
      <c r="AC13" s="26" t="s">
        <v>41</v>
      </c>
      <c r="AD13" s="23">
        <v>45933.0</v>
      </c>
      <c r="AE13" s="11" t="s">
        <v>33</v>
      </c>
    </row>
    <row r="14" ht="22.5" customHeight="1">
      <c r="A14" s="5">
        <v>4.0</v>
      </c>
      <c r="B14" s="21">
        <v>2.0</v>
      </c>
      <c r="C14" s="5" t="s">
        <v>369</v>
      </c>
      <c r="D14" s="16" t="s">
        <v>30</v>
      </c>
      <c r="E14" s="7" t="str">
        <f>IFERROR(__xludf.DUMMYFUNCTION("IF(AND(F14 &gt; 0.3, F14 &lt; 0.5), SPARKLINE(F14,{""charttype"",""bar"";""color1"",""Gold"";""max"",1}),
IF(F14 = 1, SPARKLINE(F14,{""charttype"",""bar"";""color1"",""Lime"";""max"",1}),
IF(F14 &gt;= 0.5, SPARKLINE(F14,{""charttype"",""bar"";""color1"",""GreenYel"&amp;"low"";""max"",1}),
SPARKLINE(F14,{""charttype"",""bar"";""color1"",""DarkOrange"";""max"",1}))))"),"")</f>
        <v/>
      </c>
      <c r="F14" s="8">
        <f t="shared" si="1"/>
        <v>1</v>
      </c>
      <c r="G14" s="14" t="s">
        <v>370</v>
      </c>
      <c r="H14" s="5" t="s">
        <v>141</v>
      </c>
      <c r="I14" s="10">
        <v>45928.0</v>
      </c>
      <c r="J14" s="11" t="s">
        <v>33</v>
      </c>
      <c r="K14" s="10">
        <v>45926.0</v>
      </c>
      <c r="L14" s="27" t="s">
        <v>371</v>
      </c>
      <c r="M14" s="5" t="s">
        <v>34</v>
      </c>
      <c r="N14" s="10">
        <v>45929.0</v>
      </c>
      <c r="O14" s="11" t="s">
        <v>33</v>
      </c>
      <c r="P14" s="5" t="s">
        <v>141</v>
      </c>
      <c r="Q14" s="10">
        <v>45930.0</v>
      </c>
      <c r="R14" s="11" t="s">
        <v>33</v>
      </c>
      <c r="S14" s="5" t="s">
        <v>36</v>
      </c>
      <c r="T14" s="10">
        <v>45950.0</v>
      </c>
      <c r="U14" s="11" t="s">
        <v>33</v>
      </c>
      <c r="V14" s="5" t="s">
        <v>143</v>
      </c>
      <c r="W14" s="10"/>
      <c r="X14" s="11" t="s">
        <v>38</v>
      </c>
      <c r="Y14" s="9" t="s">
        <v>334</v>
      </c>
      <c r="Z14" s="23">
        <v>45932.0</v>
      </c>
      <c r="AA14" s="24" t="s">
        <v>33</v>
      </c>
      <c r="AB14" s="28" t="s">
        <v>372</v>
      </c>
      <c r="AC14" s="26" t="s">
        <v>41</v>
      </c>
      <c r="AD14" s="23">
        <v>45933.0</v>
      </c>
      <c r="AE14" s="11" t="s">
        <v>33</v>
      </c>
    </row>
    <row r="15" ht="22.5" hidden="1" customHeight="1">
      <c r="A15" s="5">
        <v>4.0</v>
      </c>
      <c r="B15" s="21">
        <v>2.0</v>
      </c>
      <c r="C15" s="5" t="s">
        <v>373</v>
      </c>
      <c r="D15" s="16" t="s">
        <v>49</v>
      </c>
      <c r="E15" s="7" t="str">
        <f>IFERROR(__xludf.DUMMYFUNCTION("IF(AND(F15 &gt; 0.3, F15 &lt; 0.5), SPARKLINE(F15,{""charttype"",""bar"";""color1"",""Gold"";""max"",1}),
IF(F15 = 1, SPARKLINE(F15,{""charttype"",""bar"";""color1"",""Lime"";""max"",1}),
IF(F15 &gt;= 0.5, SPARKLINE(F15,{""charttype"",""bar"";""color1"",""GreenYel"&amp;"low"";""max"",1}),
SPARKLINE(F15,{""charttype"",""bar"";""color1"",""DarkOrange"";""max"",1}))))"),"")</f>
        <v/>
      </c>
      <c r="F15" s="8">
        <f t="shared" si="1"/>
        <v>1</v>
      </c>
      <c r="G15" s="14" t="s">
        <v>374</v>
      </c>
      <c r="H15" s="5" t="s">
        <v>141</v>
      </c>
      <c r="I15" s="10">
        <v>45926.0</v>
      </c>
      <c r="J15" s="11" t="s">
        <v>33</v>
      </c>
      <c r="K15" s="10">
        <v>45926.0</v>
      </c>
      <c r="L15" s="27" t="s">
        <v>142</v>
      </c>
      <c r="M15" s="5" t="s">
        <v>34</v>
      </c>
      <c r="N15" s="10">
        <v>45929.0</v>
      </c>
      <c r="O15" s="11" t="s">
        <v>33</v>
      </c>
      <c r="P15" s="5"/>
      <c r="Q15" s="10"/>
      <c r="R15" s="11" t="s">
        <v>38</v>
      </c>
      <c r="S15" s="5" t="s">
        <v>36</v>
      </c>
      <c r="T15" s="10">
        <v>45950.0</v>
      </c>
      <c r="U15" s="11" t="s">
        <v>33</v>
      </c>
      <c r="V15" s="5" t="s">
        <v>143</v>
      </c>
      <c r="W15" s="10"/>
      <c r="X15" s="11" t="s">
        <v>38</v>
      </c>
      <c r="Y15" s="34" t="s">
        <v>344</v>
      </c>
      <c r="Z15" s="23">
        <v>45932.0</v>
      </c>
      <c r="AA15" s="24" t="s">
        <v>33</v>
      </c>
      <c r="AB15" s="28" t="s">
        <v>375</v>
      </c>
      <c r="AC15" s="26" t="s">
        <v>41</v>
      </c>
      <c r="AD15" s="23">
        <v>45933.0</v>
      </c>
      <c r="AE15" s="11" t="s">
        <v>33</v>
      </c>
    </row>
    <row r="16" ht="22.5" hidden="1" customHeight="1">
      <c r="A16" s="5">
        <v>4.0</v>
      </c>
      <c r="B16" s="21">
        <v>2.0</v>
      </c>
      <c r="C16" s="5" t="s">
        <v>376</v>
      </c>
      <c r="D16" s="16" t="s">
        <v>49</v>
      </c>
      <c r="E16" s="7" t="str">
        <f>IFERROR(__xludf.DUMMYFUNCTION("IF(AND(F16 &gt; 0.3, F16 &lt; 0.5), SPARKLINE(F16,{""charttype"",""bar"";""color1"",""Gold"";""max"",1}),
IF(F16 = 1, SPARKLINE(F16,{""charttype"",""bar"";""color1"",""Lime"";""max"",1}),
IF(F16 &gt;= 0.5, SPARKLINE(F16,{""charttype"",""bar"";""color1"",""GreenYel"&amp;"low"";""max"",1}),
SPARKLINE(F16,{""charttype"",""bar"";""color1"",""DarkOrange"";""max"",1}))))"),"")</f>
        <v/>
      </c>
      <c r="F16" s="8">
        <f t="shared" si="1"/>
        <v>1</v>
      </c>
      <c r="G16" s="14" t="s">
        <v>377</v>
      </c>
      <c r="H16" s="5" t="s">
        <v>141</v>
      </c>
      <c r="I16" s="10">
        <v>45926.0</v>
      </c>
      <c r="J16" s="11" t="s">
        <v>33</v>
      </c>
      <c r="K16" s="10">
        <v>45926.0</v>
      </c>
      <c r="L16" s="27" t="s">
        <v>142</v>
      </c>
      <c r="M16" s="5" t="s">
        <v>34</v>
      </c>
      <c r="N16" s="10">
        <v>45929.0</v>
      </c>
      <c r="O16" s="11" t="s">
        <v>33</v>
      </c>
      <c r="P16" s="5"/>
      <c r="Q16" s="10"/>
      <c r="R16" s="11" t="s">
        <v>38</v>
      </c>
      <c r="S16" s="5" t="s">
        <v>36</v>
      </c>
      <c r="T16" s="10">
        <v>45950.0</v>
      </c>
      <c r="U16" s="11" t="s">
        <v>33</v>
      </c>
      <c r="V16" s="5" t="s">
        <v>143</v>
      </c>
      <c r="W16" s="10"/>
      <c r="X16" s="11" t="s">
        <v>38</v>
      </c>
      <c r="Y16" s="34" t="s">
        <v>344</v>
      </c>
      <c r="Z16" s="23">
        <v>45932.0</v>
      </c>
      <c r="AA16" s="24" t="s">
        <v>33</v>
      </c>
      <c r="AB16" s="30" t="s">
        <v>378</v>
      </c>
      <c r="AC16" s="26" t="s">
        <v>41</v>
      </c>
      <c r="AD16" s="23">
        <v>45933.0</v>
      </c>
      <c r="AE16" s="11" t="s">
        <v>33</v>
      </c>
    </row>
    <row r="17" ht="22.5" hidden="1" customHeight="1">
      <c r="A17" s="5">
        <v>4.0</v>
      </c>
      <c r="B17" s="21">
        <v>2.0</v>
      </c>
      <c r="C17" s="5" t="s">
        <v>379</v>
      </c>
      <c r="D17" s="16" t="s">
        <v>49</v>
      </c>
      <c r="E17" s="7" t="str">
        <f>IFERROR(__xludf.DUMMYFUNCTION("IF(AND(F17 &gt; 0.3, F17 &lt; 0.5), SPARKLINE(F17,{""charttype"",""bar"";""color1"",""Gold"";""max"",1}),
IF(F17 = 1, SPARKLINE(F17,{""charttype"",""bar"";""color1"",""Lime"";""max"",1}),
IF(F17 &gt;= 0.5, SPARKLINE(F17,{""charttype"",""bar"";""color1"",""GreenYel"&amp;"low"";""max"",1}),
SPARKLINE(F17,{""charttype"",""bar"";""color1"",""DarkOrange"";""max"",1}))))"),"")</f>
        <v/>
      </c>
      <c r="F17" s="8">
        <f t="shared" si="1"/>
        <v>1</v>
      </c>
      <c r="G17" s="14" t="s">
        <v>380</v>
      </c>
      <c r="H17" s="5" t="s">
        <v>141</v>
      </c>
      <c r="I17" s="10">
        <v>45926.0</v>
      </c>
      <c r="J17" s="11" t="s">
        <v>33</v>
      </c>
      <c r="K17" s="10">
        <v>45926.0</v>
      </c>
      <c r="L17" s="27" t="s">
        <v>142</v>
      </c>
      <c r="M17" s="5" t="s">
        <v>34</v>
      </c>
      <c r="N17" s="10">
        <v>45929.0</v>
      </c>
      <c r="O17" s="11" t="s">
        <v>33</v>
      </c>
      <c r="P17" s="5"/>
      <c r="Q17" s="10"/>
      <c r="R17" s="11" t="s">
        <v>38</v>
      </c>
      <c r="S17" s="5" t="s">
        <v>36</v>
      </c>
      <c r="T17" s="10">
        <v>45950.0</v>
      </c>
      <c r="U17" s="11" t="s">
        <v>33</v>
      </c>
      <c r="V17" s="5" t="s">
        <v>143</v>
      </c>
      <c r="W17" s="10"/>
      <c r="X17" s="11" t="s">
        <v>38</v>
      </c>
      <c r="Y17" s="34" t="s">
        <v>344</v>
      </c>
      <c r="Z17" s="23">
        <v>45932.0</v>
      </c>
      <c r="AA17" s="24" t="s">
        <v>33</v>
      </c>
      <c r="AB17" s="28" t="s">
        <v>381</v>
      </c>
      <c r="AC17" s="26" t="s">
        <v>41</v>
      </c>
      <c r="AD17" s="23">
        <v>45933.0</v>
      </c>
      <c r="AE17" s="11" t="s">
        <v>33</v>
      </c>
    </row>
    <row r="18" ht="22.5" hidden="1" customHeight="1">
      <c r="A18" s="5">
        <v>4.0</v>
      </c>
      <c r="B18" s="21">
        <v>2.0</v>
      </c>
      <c r="C18" s="5" t="s">
        <v>382</v>
      </c>
      <c r="D18" s="16" t="s">
        <v>60</v>
      </c>
      <c r="E18" s="7" t="str">
        <f>IFERROR(__xludf.DUMMYFUNCTION("IF(AND(F18 &gt; 0.3, F18 &lt; 0.5), SPARKLINE(F18,{""charttype"",""bar"";""color1"",""Gold"";""max"",1}),
IF(F18 = 1, SPARKLINE(F18,{""charttype"",""bar"";""color1"",""Lime"";""max"",1}),
IF(F18 &gt;= 0.5, SPARKLINE(F18,{""charttype"",""bar"";""color1"",""GreenYel"&amp;"low"";""max"",1}),
SPARKLINE(F18,{""charttype"",""bar"";""color1"",""DarkOrange"";""max"",1}))))"),"")</f>
        <v/>
      </c>
      <c r="F18" s="8">
        <f t="shared" si="1"/>
        <v>1</v>
      </c>
      <c r="G18" s="14" t="s">
        <v>383</v>
      </c>
      <c r="H18" s="5" t="s">
        <v>141</v>
      </c>
      <c r="I18" s="10">
        <v>45926.0</v>
      </c>
      <c r="J18" s="11" t="s">
        <v>33</v>
      </c>
      <c r="K18" s="10">
        <v>45926.0</v>
      </c>
      <c r="L18" s="27" t="s">
        <v>142</v>
      </c>
      <c r="M18" s="5" t="s">
        <v>34</v>
      </c>
      <c r="N18" s="10">
        <v>45929.0</v>
      </c>
      <c r="O18" s="11" t="s">
        <v>33</v>
      </c>
      <c r="P18" s="5"/>
      <c r="Q18" s="10"/>
      <c r="R18" s="11" t="s">
        <v>38</v>
      </c>
      <c r="S18" s="5" t="s">
        <v>36</v>
      </c>
      <c r="T18" s="10">
        <v>45950.0</v>
      </c>
      <c r="U18" s="11" t="s">
        <v>33</v>
      </c>
      <c r="V18" s="5" t="s">
        <v>143</v>
      </c>
      <c r="W18" s="10"/>
      <c r="X18" s="11" t="s">
        <v>38</v>
      </c>
      <c r="Y18" s="34" t="s">
        <v>344</v>
      </c>
      <c r="Z18" s="23">
        <v>45932.0</v>
      </c>
      <c r="AA18" s="24" t="s">
        <v>33</v>
      </c>
      <c r="AB18" s="28" t="s">
        <v>384</v>
      </c>
      <c r="AC18" s="26" t="s">
        <v>41</v>
      </c>
      <c r="AD18" s="23">
        <v>45933.0</v>
      </c>
      <c r="AE18" s="11" t="s">
        <v>33</v>
      </c>
    </row>
    <row r="19" ht="22.5" hidden="1" customHeight="1">
      <c r="A19" s="5">
        <v>4.0</v>
      </c>
      <c r="B19" s="21">
        <v>2.0</v>
      </c>
      <c r="C19" s="5" t="s">
        <v>385</v>
      </c>
      <c r="D19" s="16" t="s">
        <v>64</v>
      </c>
      <c r="E19" s="7" t="str">
        <f>IFERROR(__xludf.DUMMYFUNCTION("IF(AND(F19 &gt; 0.3, F19 &lt; 0.5), SPARKLINE(F19,{""charttype"",""bar"";""color1"",""Gold"";""max"",1}),
IF(F19 = 1, SPARKLINE(F19,{""charttype"",""bar"";""color1"",""Lime"";""max"",1}),
IF(F19 &gt;= 0.5, SPARKLINE(F19,{""charttype"",""bar"";""color1"",""GreenYel"&amp;"low"";""max"",1}),
SPARKLINE(F19,{""charttype"",""bar"";""color1"",""DarkOrange"";""max"",1}))))"),"")</f>
        <v/>
      </c>
      <c r="F19" s="8">
        <f t="shared" si="1"/>
        <v>1</v>
      </c>
      <c r="G19" s="14" t="s">
        <v>386</v>
      </c>
      <c r="H19" s="5" t="s">
        <v>141</v>
      </c>
      <c r="I19" s="10">
        <v>45926.0</v>
      </c>
      <c r="J19" s="11" t="s">
        <v>33</v>
      </c>
      <c r="K19" s="10">
        <v>45926.0</v>
      </c>
      <c r="L19" s="27" t="s">
        <v>142</v>
      </c>
      <c r="M19" s="5" t="s">
        <v>34</v>
      </c>
      <c r="N19" s="10">
        <v>45929.0</v>
      </c>
      <c r="O19" s="11" t="s">
        <v>33</v>
      </c>
      <c r="P19" s="5"/>
      <c r="Q19" s="10"/>
      <c r="R19" s="11" t="s">
        <v>38</v>
      </c>
      <c r="S19" s="5" t="s">
        <v>36</v>
      </c>
      <c r="T19" s="10">
        <v>45950.0</v>
      </c>
      <c r="U19" s="11" t="s">
        <v>33</v>
      </c>
      <c r="V19" s="5" t="s">
        <v>143</v>
      </c>
      <c r="W19" s="10"/>
      <c r="X19" s="11" t="s">
        <v>38</v>
      </c>
      <c r="Y19" s="34" t="s">
        <v>344</v>
      </c>
      <c r="Z19" s="23">
        <v>45932.0</v>
      </c>
      <c r="AA19" s="24" t="s">
        <v>33</v>
      </c>
      <c r="AB19" s="28" t="s">
        <v>387</v>
      </c>
      <c r="AC19" s="26" t="s">
        <v>41</v>
      </c>
      <c r="AD19" s="23">
        <v>45933.0</v>
      </c>
      <c r="AE19" s="11" t="s">
        <v>33</v>
      </c>
    </row>
    <row r="20" ht="22.5" hidden="1" customHeight="1">
      <c r="A20" s="5">
        <v>4.0</v>
      </c>
      <c r="B20" s="21">
        <v>2.0</v>
      </c>
      <c r="C20" s="5" t="s">
        <v>388</v>
      </c>
      <c r="D20" s="16" t="s">
        <v>169</v>
      </c>
      <c r="E20" s="7" t="str">
        <f>IFERROR(__xludf.DUMMYFUNCTION("IF(AND(F20 &gt; 0.3, F20 &lt; 0.5), SPARKLINE(F20,{""charttype"",""bar"";""color1"",""Gold"";""max"",1}),
IF(F20 = 1, SPARKLINE(F20,{""charttype"",""bar"";""color1"",""Lime"";""max"",1}),
IF(F20 &gt;= 0.5, SPARKLINE(F20,{""charttype"",""bar"";""color1"",""GreenYel"&amp;"low"";""max"",1}),
SPARKLINE(F20,{""charttype"",""bar"";""color1"",""DarkOrange"";""max"",1}))))"),"")</f>
        <v/>
      </c>
      <c r="F20" s="8">
        <f t="shared" si="1"/>
        <v>1</v>
      </c>
      <c r="G20" s="19"/>
      <c r="H20" s="5" t="s">
        <v>141</v>
      </c>
      <c r="I20" s="10">
        <v>45926.0</v>
      </c>
      <c r="J20" s="11" t="s">
        <v>33</v>
      </c>
      <c r="K20" s="10">
        <v>45926.0</v>
      </c>
      <c r="L20" s="27" t="s">
        <v>142</v>
      </c>
      <c r="M20" s="5" t="s">
        <v>34</v>
      </c>
      <c r="N20" s="10">
        <v>45929.0</v>
      </c>
      <c r="O20" s="11" t="s">
        <v>33</v>
      </c>
      <c r="P20" s="5" t="s">
        <v>141</v>
      </c>
      <c r="Q20" s="10">
        <v>45930.0</v>
      </c>
      <c r="R20" s="11" t="s">
        <v>33</v>
      </c>
      <c r="S20" s="5" t="s">
        <v>36</v>
      </c>
      <c r="T20" s="10">
        <v>45950.0</v>
      </c>
      <c r="U20" s="11" t="s">
        <v>33</v>
      </c>
      <c r="V20" s="5" t="s">
        <v>143</v>
      </c>
      <c r="W20" s="10"/>
      <c r="X20" s="11" t="s">
        <v>38</v>
      </c>
      <c r="Y20" s="9" t="s">
        <v>334</v>
      </c>
      <c r="Z20" s="23">
        <v>45932.0</v>
      </c>
      <c r="AA20" s="24" t="s">
        <v>33</v>
      </c>
      <c r="AB20" s="28" t="s">
        <v>389</v>
      </c>
      <c r="AC20" s="26" t="s">
        <v>41</v>
      </c>
      <c r="AD20" s="23">
        <v>45933.0</v>
      </c>
      <c r="AE20" s="11" t="s">
        <v>33</v>
      </c>
    </row>
    <row r="21" ht="22.5" hidden="1" customHeight="1">
      <c r="A21" s="5">
        <v>4.0</v>
      </c>
      <c r="B21" s="21">
        <v>2.0</v>
      </c>
      <c r="C21" s="5" t="s">
        <v>390</v>
      </c>
      <c r="D21" s="16" t="s">
        <v>72</v>
      </c>
      <c r="E21" s="7" t="str">
        <f>IFERROR(__xludf.DUMMYFUNCTION("IF(AND(F21 &gt; 0.3, F21 &lt; 0.5), SPARKLINE(F21,{""charttype"",""bar"";""color1"",""Gold"";""max"",1}),
IF(F21 = 1, SPARKLINE(F21,{""charttype"",""bar"";""color1"",""Lime"";""max"",1}),
IF(F21 &gt;= 0.5, SPARKLINE(F21,{""charttype"",""bar"";""color1"",""GreenYel"&amp;"low"";""max"",1}),
SPARKLINE(F21,{""charttype"",""bar"";""color1"",""DarkOrange"";""max"",1}))))"),"")</f>
        <v/>
      </c>
      <c r="F21" s="8">
        <f t="shared" si="1"/>
        <v>1</v>
      </c>
      <c r="G21" s="14" t="s">
        <v>391</v>
      </c>
      <c r="H21" s="5" t="s">
        <v>141</v>
      </c>
      <c r="I21" s="10">
        <v>45926.0</v>
      </c>
      <c r="J21" s="11" t="s">
        <v>33</v>
      </c>
      <c r="K21" s="10">
        <v>45926.0</v>
      </c>
      <c r="L21" s="27" t="s">
        <v>142</v>
      </c>
      <c r="M21" s="5" t="s">
        <v>34</v>
      </c>
      <c r="N21" s="10">
        <v>45929.0</v>
      </c>
      <c r="O21" s="11" t="s">
        <v>33</v>
      </c>
      <c r="P21" s="5"/>
      <c r="Q21" s="10"/>
      <c r="R21" s="11" t="s">
        <v>38</v>
      </c>
      <c r="S21" s="5" t="s">
        <v>36</v>
      </c>
      <c r="T21" s="10">
        <v>45950.0</v>
      </c>
      <c r="U21" s="11" t="s">
        <v>33</v>
      </c>
      <c r="V21" s="5" t="s">
        <v>143</v>
      </c>
      <c r="W21" s="10"/>
      <c r="X21" s="11" t="s">
        <v>38</v>
      </c>
      <c r="Y21" s="34" t="s">
        <v>344</v>
      </c>
      <c r="Z21" s="23">
        <v>45932.0</v>
      </c>
      <c r="AA21" s="24" t="s">
        <v>33</v>
      </c>
      <c r="AB21" s="28" t="s">
        <v>392</v>
      </c>
      <c r="AC21" s="26" t="s">
        <v>41</v>
      </c>
      <c r="AD21" s="23">
        <v>45933.0</v>
      </c>
      <c r="AE21" s="11" t="s">
        <v>33</v>
      </c>
    </row>
    <row r="22" ht="22.5" hidden="1" customHeight="1">
      <c r="A22" s="5">
        <v>4.0</v>
      </c>
      <c r="B22" s="21">
        <v>2.0</v>
      </c>
      <c r="C22" s="5" t="s">
        <v>393</v>
      </c>
      <c r="D22" s="16" t="s">
        <v>68</v>
      </c>
      <c r="E22" s="7" t="str">
        <f>IFERROR(__xludf.DUMMYFUNCTION("IF(AND(F22 &gt; 0.3, F22 &lt; 0.5), SPARKLINE(F22,{""charttype"",""bar"";""color1"",""Gold"";""max"",1}),
IF(F22 = 1, SPARKLINE(F22,{""charttype"",""bar"";""color1"",""Lime"";""max"",1}),
IF(F22 &gt;= 0.5, SPARKLINE(F22,{""charttype"",""bar"";""color1"",""GreenYel"&amp;"low"";""max"",1}),
SPARKLINE(F22,{""charttype"",""bar"";""color1"",""DarkOrange"";""max"",1}))))"),"")</f>
        <v/>
      </c>
      <c r="F22" s="8">
        <f t="shared" si="1"/>
        <v>1</v>
      </c>
      <c r="G22" s="14" t="s">
        <v>394</v>
      </c>
      <c r="H22" s="5" t="s">
        <v>141</v>
      </c>
      <c r="I22" s="10">
        <v>45926.0</v>
      </c>
      <c r="J22" s="11" t="s">
        <v>33</v>
      </c>
      <c r="K22" s="10">
        <v>45926.0</v>
      </c>
      <c r="L22" s="27" t="s">
        <v>142</v>
      </c>
      <c r="M22" s="5" t="s">
        <v>34</v>
      </c>
      <c r="N22" s="10">
        <v>45929.0</v>
      </c>
      <c r="O22" s="11" t="s">
        <v>33</v>
      </c>
      <c r="P22" s="5"/>
      <c r="Q22" s="10"/>
      <c r="R22" s="11" t="s">
        <v>38</v>
      </c>
      <c r="S22" s="5" t="s">
        <v>36</v>
      </c>
      <c r="T22" s="10">
        <v>45950.0</v>
      </c>
      <c r="U22" s="11" t="s">
        <v>33</v>
      </c>
      <c r="V22" s="5" t="s">
        <v>143</v>
      </c>
      <c r="W22" s="10"/>
      <c r="X22" s="11" t="s">
        <v>38</v>
      </c>
      <c r="Y22" s="34" t="s">
        <v>344</v>
      </c>
      <c r="Z22" s="23">
        <v>45932.0</v>
      </c>
      <c r="AA22" s="24" t="s">
        <v>33</v>
      </c>
      <c r="AB22" s="28" t="s">
        <v>395</v>
      </c>
      <c r="AC22" s="26" t="s">
        <v>41</v>
      </c>
      <c r="AD22" s="23">
        <v>45933.0</v>
      </c>
      <c r="AE22" s="11" t="s">
        <v>33</v>
      </c>
    </row>
    <row r="23" ht="22.5" customHeight="1">
      <c r="A23" s="5">
        <v>4.0</v>
      </c>
      <c r="B23" s="21">
        <v>3.0</v>
      </c>
      <c r="C23" s="5" t="s">
        <v>396</v>
      </c>
      <c r="D23" s="16" t="s">
        <v>30</v>
      </c>
      <c r="E23" s="7" t="str">
        <f>IFERROR(__xludf.DUMMYFUNCTION("IF(AND(F23 &gt; 0.3, F23 &lt; 0.5), SPARKLINE(F23,{""charttype"",""bar"";""color1"",""Gold"";""max"",1}),
IF(F23 = 1, SPARKLINE(F23,{""charttype"",""bar"";""color1"",""Lime"";""max"",1}),
IF(F23 &gt;= 0.5, SPARKLINE(F23,{""charttype"",""bar"";""color1"",""GreenYel"&amp;"low"";""max"",1}),
SPARKLINE(F23,{""charttype"",""bar"";""color1"",""DarkOrange"";""max"",1}))))"),"")</f>
        <v/>
      </c>
      <c r="F23" s="8">
        <f t="shared" si="1"/>
        <v>1</v>
      </c>
      <c r="G23" s="14" t="s">
        <v>397</v>
      </c>
      <c r="H23" s="5" t="s">
        <v>141</v>
      </c>
      <c r="I23" s="10">
        <v>45930.0</v>
      </c>
      <c r="J23" s="11" t="s">
        <v>33</v>
      </c>
      <c r="K23" s="10">
        <v>45930.0</v>
      </c>
      <c r="L23" s="22" t="s">
        <v>142</v>
      </c>
      <c r="M23" s="5" t="s">
        <v>34</v>
      </c>
      <c r="N23" s="10">
        <v>45931.0</v>
      </c>
      <c r="O23" s="11" t="s">
        <v>33</v>
      </c>
      <c r="P23" s="5" t="s">
        <v>141</v>
      </c>
      <c r="Q23" s="10">
        <v>45932.0</v>
      </c>
      <c r="R23" s="11" t="s">
        <v>33</v>
      </c>
      <c r="S23" s="5" t="s">
        <v>36</v>
      </c>
      <c r="T23" s="10">
        <v>45950.0</v>
      </c>
      <c r="U23" s="11" t="s">
        <v>33</v>
      </c>
      <c r="V23" s="5" t="s">
        <v>143</v>
      </c>
      <c r="W23" s="10"/>
      <c r="X23" s="11" t="s">
        <v>38</v>
      </c>
      <c r="Y23" s="9" t="s">
        <v>334</v>
      </c>
      <c r="Z23" s="23">
        <v>45936.0</v>
      </c>
      <c r="AA23" s="24" t="s">
        <v>33</v>
      </c>
      <c r="AB23" s="28" t="s">
        <v>398</v>
      </c>
      <c r="AC23" s="35" t="s">
        <v>41</v>
      </c>
      <c r="AD23" s="23">
        <v>45937.0</v>
      </c>
      <c r="AE23" s="11" t="s">
        <v>33</v>
      </c>
    </row>
    <row r="24" ht="22.5" customHeight="1">
      <c r="A24" s="5">
        <v>4.0</v>
      </c>
      <c r="B24" s="21">
        <v>3.0</v>
      </c>
      <c r="C24" s="5" t="s">
        <v>399</v>
      </c>
      <c r="D24" s="16" t="s">
        <v>30</v>
      </c>
      <c r="E24" s="7" t="str">
        <f>IFERROR(__xludf.DUMMYFUNCTION("IF(AND(F24 &gt; 0.3, F24 &lt; 0.5), SPARKLINE(F24,{""charttype"",""bar"";""color1"",""Gold"";""max"",1}),
IF(F24 = 1, SPARKLINE(F24,{""charttype"",""bar"";""color1"",""Lime"";""max"",1}),
IF(F24 &gt;= 0.5, SPARKLINE(F24,{""charttype"",""bar"";""color1"",""GreenYel"&amp;"low"";""max"",1}),
SPARKLINE(F24,{""charttype"",""bar"";""color1"",""DarkOrange"";""max"",1}))))"),"")</f>
        <v/>
      </c>
      <c r="F24" s="8">
        <f t="shared" si="1"/>
        <v>1</v>
      </c>
      <c r="G24" s="14" t="s">
        <v>400</v>
      </c>
      <c r="H24" s="5" t="s">
        <v>141</v>
      </c>
      <c r="I24" s="10">
        <v>45930.0</v>
      </c>
      <c r="J24" s="11" t="s">
        <v>33</v>
      </c>
      <c r="K24" s="10">
        <v>45930.0</v>
      </c>
      <c r="L24" s="27" t="s">
        <v>142</v>
      </c>
      <c r="M24" s="5" t="s">
        <v>34</v>
      </c>
      <c r="N24" s="10">
        <v>45931.0</v>
      </c>
      <c r="O24" s="11" t="s">
        <v>33</v>
      </c>
      <c r="P24" s="5" t="s">
        <v>141</v>
      </c>
      <c r="Q24" s="10">
        <v>45932.0</v>
      </c>
      <c r="R24" s="11" t="s">
        <v>33</v>
      </c>
      <c r="S24" s="5" t="s">
        <v>36</v>
      </c>
      <c r="T24" s="10">
        <v>45950.0</v>
      </c>
      <c r="U24" s="11" t="s">
        <v>33</v>
      </c>
      <c r="V24" s="5" t="s">
        <v>143</v>
      </c>
      <c r="W24" s="10"/>
      <c r="X24" s="11" t="s">
        <v>38</v>
      </c>
      <c r="Y24" s="9" t="s">
        <v>334</v>
      </c>
      <c r="Z24" s="23">
        <v>45936.0</v>
      </c>
      <c r="AA24" s="24" t="s">
        <v>33</v>
      </c>
      <c r="AB24" s="28" t="s">
        <v>401</v>
      </c>
      <c r="AC24" s="35" t="s">
        <v>41</v>
      </c>
      <c r="AD24" s="23">
        <v>45937.0</v>
      </c>
      <c r="AE24" s="11" t="s">
        <v>33</v>
      </c>
    </row>
    <row r="25" ht="22.5" customHeight="1">
      <c r="A25" s="5">
        <v>4.0</v>
      </c>
      <c r="B25" s="21">
        <v>3.0</v>
      </c>
      <c r="C25" s="5" t="s">
        <v>402</v>
      </c>
      <c r="D25" s="16" t="s">
        <v>30</v>
      </c>
      <c r="E25" s="7" t="str">
        <f>IFERROR(__xludf.DUMMYFUNCTION("IF(AND(F25 &gt; 0.3, F25 &lt; 0.5), SPARKLINE(F25,{""charttype"",""bar"";""color1"",""Gold"";""max"",1}),
IF(F25 = 1, SPARKLINE(F25,{""charttype"",""bar"";""color1"",""Lime"";""max"",1}),
IF(F25 &gt;= 0.5, SPARKLINE(F25,{""charttype"",""bar"";""color1"",""GreenYel"&amp;"low"";""max"",1}),
SPARKLINE(F25,{""charttype"",""bar"";""color1"",""DarkOrange"";""max"",1}))))"),"")</f>
        <v/>
      </c>
      <c r="F25" s="8">
        <f t="shared" si="1"/>
        <v>1</v>
      </c>
      <c r="G25" s="14" t="s">
        <v>403</v>
      </c>
      <c r="H25" s="5" t="s">
        <v>141</v>
      </c>
      <c r="I25" s="10">
        <v>45930.0</v>
      </c>
      <c r="J25" s="11" t="s">
        <v>33</v>
      </c>
      <c r="K25" s="10">
        <v>45930.0</v>
      </c>
      <c r="L25" s="27" t="s">
        <v>142</v>
      </c>
      <c r="M25" s="5" t="s">
        <v>34</v>
      </c>
      <c r="N25" s="10">
        <v>45931.0</v>
      </c>
      <c r="O25" s="11" t="s">
        <v>33</v>
      </c>
      <c r="P25" s="5" t="s">
        <v>141</v>
      </c>
      <c r="Q25" s="10">
        <v>45932.0</v>
      </c>
      <c r="R25" s="11" t="s">
        <v>33</v>
      </c>
      <c r="S25" s="5" t="s">
        <v>36</v>
      </c>
      <c r="T25" s="10">
        <v>45950.0</v>
      </c>
      <c r="U25" s="11" t="s">
        <v>33</v>
      </c>
      <c r="V25" s="5" t="s">
        <v>143</v>
      </c>
      <c r="W25" s="10"/>
      <c r="X25" s="11" t="s">
        <v>38</v>
      </c>
      <c r="Y25" s="9" t="s">
        <v>334</v>
      </c>
      <c r="Z25" s="23">
        <v>45936.0</v>
      </c>
      <c r="AA25" s="24" t="s">
        <v>33</v>
      </c>
      <c r="AB25" s="28" t="s">
        <v>404</v>
      </c>
      <c r="AC25" s="35" t="s">
        <v>41</v>
      </c>
      <c r="AD25" s="23">
        <v>45937.0</v>
      </c>
      <c r="AE25" s="11" t="s">
        <v>33</v>
      </c>
    </row>
    <row r="26" ht="22.5" hidden="1" customHeight="1">
      <c r="A26" s="5">
        <v>4.0</v>
      </c>
      <c r="B26" s="21">
        <v>3.0</v>
      </c>
      <c r="C26" s="5" t="s">
        <v>405</v>
      </c>
      <c r="D26" s="16" t="s">
        <v>49</v>
      </c>
      <c r="E26" s="7" t="str">
        <f>IFERROR(__xludf.DUMMYFUNCTION("IF(AND(F26 &gt; 0.3, F26 &lt; 0.5), SPARKLINE(F26,{""charttype"",""bar"";""color1"",""Gold"";""max"",1}),
IF(F26 = 1, SPARKLINE(F26,{""charttype"",""bar"";""color1"",""Lime"";""max"",1}),
IF(F26 &gt;= 0.5, SPARKLINE(F26,{""charttype"",""bar"";""color1"",""GreenYel"&amp;"low"";""max"",1}),
SPARKLINE(F26,{""charttype"",""bar"";""color1"",""DarkOrange"";""max"",1}))))"),"")</f>
        <v/>
      </c>
      <c r="F26" s="8">
        <f t="shared" si="1"/>
        <v>1</v>
      </c>
      <c r="G26" s="14" t="s">
        <v>406</v>
      </c>
      <c r="H26" s="5" t="s">
        <v>141</v>
      </c>
      <c r="I26" s="10">
        <v>45930.0</v>
      </c>
      <c r="J26" s="11" t="s">
        <v>33</v>
      </c>
      <c r="K26" s="10">
        <v>45930.0</v>
      </c>
      <c r="L26" s="27" t="s">
        <v>142</v>
      </c>
      <c r="M26" s="5" t="s">
        <v>34</v>
      </c>
      <c r="N26" s="10">
        <v>45931.0</v>
      </c>
      <c r="O26" s="11" t="s">
        <v>33</v>
      </c>
      <c r="P26" s="5"/>
      <c r="Q26" s="10"/>
      <c r="R26" s="11" t="s">
        <v>38</v>
      </c>
      <c r="S26" s="5" t="s">
        <v>36</v>
      </c>
      <c r="T26" s="10">
        <v>45950.0</v>
      </c>
      <c r="U26" s="11" t="s">
        <v>33</v>
      </c>
      <c r="V26" s="5" t="s">
        <v>143</v>
      </c>
      <c r="W26" s="10"/>
      <c r="X26" s="11" t="s">
        <v>38</v>
      </c>
      <c r="Y26" s="34" t="s">
        <v>344</v>
      </c>
      <c r="Z26" s="23">
        <v>45936.0</v>
      </c>
      <c r="AA26" s="24" t="s">
        <v>33</v>
      </c>
      <c r="AB26" s="28" t="s">
        <v>407</v>
      </c>
      <c r="AC26" s="26" t="s">
        <v>41</v>
      </c>
      <c r="AD26" s="23">
        <v>45937.0</v>
      </c>
      <c r="AE26" s="11" t="s">
        <v>33</v>
      </c>
    </row>
    <row r="27" ht="22.5" hidden="1" customHeight="1">
      <c r="A27" s="5">
        <v>4.0</v>
      </c>
      <c r="B27" s="21">
        <v>3.0</v>
      </c>
      <c r="C27" s="5" t="s">
        <v>408</v>
      </c>
      <c r="D27" s="16" t="s">
        <v>49</v>
      </c>
      <c r="E27" s="7" t="str">
        <f>IFERROR(__xludf.DUMMYFUNCTION("IF(AND(F27 &gt; 0.3, F27 &lt; 0.5), SPARKLINE(F27,{""charttype"",""bar"";""color1"",""Gold"";""max"",1}),
IF(F27 = 1, SPARKLINE(F27,{""charttype"",""bar"";""color1"",""Lime"";""max"",1}),
IF(F27 &gt;= 0.5, SPARKLINE(F27,{""charttype"",""bar"";""color1"",""GreenYel"&amp;"low"";""max"",1}),
SPARKLINE(F27,{""charttype"",""bar"";""color1"",""DarkOrange"";""max"",1}))))"),"")</f>
        <v/>
      </c>
      <c r="F27" s="8">
        <f t="shared" si="1"/>
        <v>1</v>
      </c>
      <c r="G27" s="14" t="s">
        <v>409</v>
      </c>
      <c r="H27" s="5" t="s">
        <v>141</v>
      </c>
      <c r="I27" s="10">
        <v>45930.0</v>
      </c>
      <c r="J27" s="11" t="s">
        <v>33</v>
      </c>
      <c r="K27" s="10">
        <v>45930.0</v>
      </c>
      <c r="L27" s="36"/>
      <c r="M27" s="5" t="s">
        <v>34</v>
      </c>
      <c r="N27" s="10">
        <v>45931.0</v>
      </c>
      <c r="O27" s="11" t="s">
        <v>33</v>
      </c>
      <c r="P27" s="5"/>
      <c r="Q27" s="10"/>
      <c r="R27" s="11" t="s">
        <v>38</v>
      </c>
      <c r="S27" s="5" t="s">
        <v>36</v>
      </c>
      <c r="T27" s="10">
        <v>45950.0</v>
      </c>
      <c r="U27" s="11" t="s">
        <v>33</v>
      </c>
      <c r="V27" s="5" t="s">
        <v>143</v>
      </c>
      <c r="W27" s="10"/>
      <c r="X27" s="11" t="s">
        <v>38</v>
      </c>
      <c r="Y27" s="34" t="s">
        <v>344</v>
      </c>
      <c r="Z27" s="23">
        <v>45936.0</v>
      </c>
      <c r="AA27" s="24" t="s">
        <v>33</v>
      </c>
      <c r="AB27" s="28" t="s">
        <v>410</v>
      </c>
      <c r="AC27" s="26" t="s">
        <v>41</v>
      </c>
      <c r="AD27" s="23">
        <v>45937.0</v>
      </c>
      <c r="AE27" s="11" t="s">
        <v>33</v>
      </c>
    </row>
    <row r="28" ht="22.5" hidden="1" customHeight="1">
      <c r="A28" s="5">
        <v>4.0</v>
      </c>
      <c r="B28" s="21">
        <v>3.0</v>
      </c>
      <c r="C28" s="5" t="s">
        <v>411</v>
      </c>
      <c r="D28" s="16" t="s">
        <v>49</v>
      </c>
      <c r="E28" s="7" t="str">
        <f>IFERROR(__xludf.DUMMYFUNCTION("IF(AND(F28 &gt; 0.3, F28 &lt; 0.5), SPARKLINE(F28,{""charttype"",""bar"";""color1"",""Gold"";""max"",1}),
IF(F28 = 1, SPARKLINE(F28,{""charttype"",""bar"";""color1"",""Lime"";""max"",1}),
IF(F28 &gt;= 0.5, SPARKLINE(F28,{""charttype"",""bar"";""color1"",""GreenYel"&amp;"low"";""max"",1}),
SPARKLINE(F28,{""charttype"",""bar"";""color1"",""DarkOrange"";""max"",1}))))"),"")</f>
        <v/>
      </c>
      <c r="F28" s="8">
        <f t="shared" si="1"/>
        <v>1</v>
      </c>
      <c r="G28" s="14" t="s">
        <v>412</v>
      </c>
      <c r="H28" s="5" t="s">
        <v>141</v>
      </c>
      <c r="I28" s="10">
        <v>45930.0</v>
      </c>
      <c r="J28" s="11" t="s">
        <v>33</v>
      </c>
      <c r="K28" s="10">
        <v>45930.0</v>
      </c>
      <c r="L28" s="27" t="s">
        <v>142</v>
      </c>
      <c r="M28" s="5" t="s">
        <v>34</v>
      </c>
      <c r="N28" s="10">
        <v>45931.0</v>
      </c>
      <c r="O28" s="11" t="s">
        <v>33</v>
      </c>
      <c r="P28" s="5"/>
      <c r="Q28" s="10"/>
      <c r="R28" s="11" t="s">
        <v>38</v>
      </c>
      <c r="S28" s="5" t="s">
        <v>36</v>
      </c>
      <c r="T28" s="10">
        <v>45950.0</v>
      </c>
      <c r="U28" s="11" t="s">
        <v>33</v>
      </c>
      <c r="V28" s="5" t="s">
        <v>143</v>
      </c>
      <c r="W28" s="10"/>
      <c r="X28" s="11" t="s">
        <v>38</v>
      </c>
      <c r="Y28" s="34" t="s">
        <v>344</v>
      </c>
      <c r="Z28" s="23">
        <v>45936.0</v>
      </c>
      <c r="AA28" s="11" t="s">
        <v>33</v>
      </c>
      <c r="AB28" s="28" t="s">
        <v>413</v>
      </c>
      <c r="AC28" s="26" t="s">
        <v>41</v>
      </c>
      <c r="AD28" s="23">
        <v>45937.0</v>
      </c>
      <c r="AE28" s="11" t="s">
        <v>33</v>
      </c>
    </row>
    <row r="29" ht="22.5" hidden="1" customHeight="1">
      <c r="A29" s="5">
        <v>4.0</v>
      </c>
      <c r="B29" s="21">
        <v>3.0</v>
      </c>
      <c r="C29" s="5" t="s">
        <v>414</v>
      </c>
      <c r="D29" s="16" t="s">
        <v>60</v>
      </c>
      <c r="E29" s="7" t="str">
        <f>IFERROR(__xludf.DUMMYFUNCTION("IF(AND(F29 &gt; 0.3, F29 &lt; 0.5), SPARKLINE(F29,{""charttype"",""bar"";""color1"",""Gold"";""max"",1}),
IF(F29 = 1, SPARKLINE(F29,{""charttype"",""bar"";""color1"",""Lime"";""max"",1}),
IF(F29 &gt;= 0.5, SPARKLINE(F29,{""charttype"",""bar"";""color1"",""GreenYel"&amp;"low"";""max"",1}),
SPARKLINE(F29,{""charttype"",""bar"";""color1"",""DarkOrange"";""max"",1}))))"),"")</f>
        <v/>
      </c>
      <c r="F29" s="8">
        <f t="shared" si="1"/>
        <v>1</v>
      </c>
      <c r="G29" s="14" t="s">
        <v>415</v>
      </c>
      <c r="H29" s="5" t="s">
        <v>141</v>
      </c>
      <c r="I29" s="10">
        <v>45930.0</v>
      </c>
      <c r="J29" s="11" t="s">
        <v>33</v>
      </c>
      <c r="K29" s="10">
        <v>45930.0</v>
      </c>
      <c r="L29" s="27" t="s">
        <v>142</v>
      </c>
      <c r="M29" s="5" t="s">
        <v>34</v>
      </c>
      <c r="N29" s="10">
        <v>45931.0</v>
      </c>
      <c r="O29" s="11" t="s">
        <v>33</v>
      </c>
      <c r="P29" s="5"/>
      <c r="Q29" s="10"/>
      <c r="R29" s="11" t="s">
        <v>38</v>
      </c>
      <c r="S29" s="5" t="s">
        <v>36</v>
      </c>
      <c r="T29" s="10">
        <v>45950.0</v>
      </c>
      <c r="U29" s="11" t="s">
        <v>33</v>
      </c>
      <c r="V29" s="5" t="s">
        <v>143</v>
      </c>
      <c r="W29" s="10"/>
      <c r="X29" s="11" t="s">
        <v>38</v>
      </c>
      <c r="Y29" s="34" t="s">
        <v>344</v>
      </c>
      <c r="Z29" s="23">
        <v>45936.0</v>
      </c>
      <c r="AA29" s="11" t="s">
        <v>33</v>
      </c>
      <c r="AB29" s="28" t="s">
        <v>416</v>
      </c>
      <c r="AC29" s="26" t="s">
        <v>41</v>
      </c>
      <c r="AD29" s="23">
        <v>45937.0</v>
      </c>
      <c r="AE29" s="11" t="s">
        <v>33</v>
      </c>
    </row>
    <row r="30" ht="22.5" hidden="1" customHeight="1">
      <c r="A30" s="5">
        <v>4.0</v>
      </c>
      <c r="B30" s="21">
        <v>3.0</v>
      </c>
      <c r="C30" s="5" t="s">
        <v>417</v>
      </c>
      <c r="D30" s="16" t="s">
        <v>64</v>
      </c>
      <c r="E30" s="7" t="str">
        <f>IFERROR(__xludf.DUMMYFUNCTION("IF(AND(F30 &gt; 0.3, F30 &lt; 0.5), SPARKLINE(F30,{""charttype"",""bar"";""color1"",""Gold"";""max"",1}),
IF(F30 = 1, SPARKLINE(F30,{""charttype"",""bar"";""color1"",""Lime"";""max"",1}),
IF(F30 &gt;= 0.5, SPARKLINE(F30,{""charttype"",""bar"";""color1"",""GreenYel"&amp;"low"";""max"",1}),
SPARKLINE(F30,{""charttype"",""bar"";""color1"",""DarkOrange"";""max"",1}))))"),"")</f>
        <v/>
      </c>
      <c r="F30" s="8">
        <f t="shared" si="1"/>
        <v>1</v>
      </c>
      <c r="G30" s="14" t="s">
        <v>418</v>
      </c>
      <c r="H30" s="5" t="s">
        <v>141</v>
      </c>
      <c r="I30" s="10">
        <v>45930.0</v>
      </c>
      <c r="J30" s="11" t="s">
        <v>33</v>
      </c>
      <c r="K30" s="10">
        <v>45930.0</v>
      </c>
      <c r="L30" s="27" t="s">
        <v>142</v>
      </c>
      <c r="M30" s="5" t="s">
        <v>34</v>
      </c>
      <c r="N30" s="10">
        <v>45931.0</v>
      </c>
      <c r="O30" s="11" t="s">
        <v>33</v>
      </c>
      <c r="P30" s="5"/>
      <c r="Q30" s="10"/>
      <c r="R30" s="11" t="s">
        <v>38</v>
      </c>
      <c r="S30" s="5" t="s">
        <v>36</v>
      </c>
      <c r="T30" s="10">
        <v>45950.0</v>
      </c>
      <c r="U30" s="11" t="s">
        <v>33</v>
      </c>
      <c r="V30" s="5" t="s">
        <v>143</v>
      </c>
      <c r="W30" s="10"/>
      <c r="X30" s="11" t="s">
        <v>38</v>
      </c>
      <c r="Y30" s="34" t="s">
        <v>344</v>
      </c>
      <c r="Z30" s="23">
        <v>45936.0</v>
      </c>
      <c r="AA30" s="24" t="s">
        <v>33</v>
      </c>
      <c r="AB30" s="28" t="s">
        <v>419</v>
      </c>
      <c r="AC30" s="26" t="s">
        <v>41</v>
      </c>
      <c r="AD30" s="23">
        <v>45937.0</v>
      </c>
      <c r="AE30" s="11" t="s">
        <v>33</v>
      </c>
    </row>
    <row r="31" ht="22.5" hidden="1" customHeight="1">
      <c r="A31" s="5">
        <v>4.0</v>
      </c>
      <c r="B31" s="21">
        <v>3.0</v>
      </c>
      <c r="C31" s="5" t="s">
        <v>420</v>
      </c>
      <c r="D31" s="16" t="s">
        <v>169</v>
      </c>
      <c r="E31" s="7" t="str">
        <f>IFERROR(__xludf.DUMMYFUNCTION("IF(AND(F31 &gt; 0.3, F31 &lt; 0.5), SPARKLINE(F31,{""charttype"",""bar"";""color1"",""Gold"";""max"",1}),
IF(F31 = 1, SPARKLINE(F31,{""charttype"",""bar"";""color1"",""Lime"";""max"",1}),
IF(F31 &gt;= 0.5, SPARKLINE(F31,{""charttype"",""bar"";""color1"",""GreenYel"&amp;"low"";""max"",1}),
SPARKLINE(F31,{""charttype"",""bar"";""color1"",""DarkOrange"";""max"",1}))))"),"")</f>
        <v/>
      </c>
      <c r="F31" s="8">
        <f t="shared" si="1"/>
        <v>1</v>
      </c>
      <c r="G31" s="19"/>
      <c r="H31" s="5" t="s">
        <v>141</v>
      </c>
      <c r="I31" s="10">
        <v>45930.0</v>
      </c>
      <c r="J31" s="11" t="s">
        <v>33</v>
      </c>
      <c r="K31" s="10">
        <v>45930.0</v>
      </c>
      <c r="L31" s="27" t="s">
        <v>142</v>
      </c>
      <c r="M31" s="5" t="s">
        <v>34</v>
      </c>
      <c r="N31" s="10">
        <v>45931.0</v>
      </c>
      <c r="O31" s="11" t="s">
        <v>33</v>
      </c>
      <c r="P31" s="5" t="s">
        <v>141</v>
      </c>
      <c r="Q31" s="10">
        <v>45932.0</v>
      </c>
      <c r="R31" s="11" t="s">
        <v>33</v>
      </c>
      <c r="S31" s="5" t="s">
        <v>36</v>
      </c>
      <c r="T31" s="10">
        <v>45950.0</v>
      </c>
      <c r="U31" s="11" t="s">
        <v>33</v>
      </c>
      <c r="V31" s="5" t="s">
        <v>143</v>
      </c>
      <c r="W31" s="10"/>
      <c r="X31" s="11" t="s">
        <v>38</v>
      </c>
      <c r="Y31" s="9" t="s">
        <v>334</v>
      </c>
      <c r="Z31" s="23">
        <v>45936.0</v>
      </c>
      <c r="AA31" s="24" t="s">
        <v>33</v>
      </c>
      <c r="AB31" s="28" t="s">
        <v>421</v>
      </c>
      <c r="AC31" s="26" t="s">
        <v>41</v>
      </c>
      <c r="AD31" s="23">
        <v>45937.0</v>
      </c>
      <c r="AE31" s="11" t="s">
        <v>33</v>
      </c>
    </row>
    <row r="32" ht="22.5" hidden="1" customHeight="1">
      <c r="A32" s="5">
        <v>4.0</v>
      </c>
      <c r="B32" s="21">
        <v>3.0</v>
      </c>
      <c r="C32" s="5" t="s">
        <v>422</v>
      </c>
      <c r="D32" s="16" t="s">
        <v>72</v>
      </c>
      <c r="E32" s="7" t="str">
        <f>IFERROR(__xludf.DUMMYFUNCTION("IF(AND(F32 &gt; 0.3, F32 &lt; 0.5), SPARKLINE(F32,{""charttype"",""bar"";""color1"",""Gold"";""max"",1}),
IF(F32 = 1, SPARKLINE(F32,{""charttype"",""bar"";""color1"",""Lime"";""max"",1}),
IF(F32 &gt;= 0.5, SPARKLINE(F32,{""charttype"",""bar"";""color1"",""GreenYel"&amp;"low"";""max"",1}),
SPARKLINE(F32,{""charttype"",""bar"";""color1"",""DarkOrange"";""max"",1}))))"),"")</f>
        <v/>
      </c>
      <c r="F32" s="8">
        <f t="shared" si="1"/>
        <v>1</v>
      </c>
      <c r="G32" s="14" t="s">
        <v>423</v>
      </c>
      <c r="H32" s="5" t="s">
        <v>141</v>
      </c>
      <c r="I32" s="10">
        <v>45930.0</v>
      </c>
      <c r="J32" s="11" t="s">
        <v>33</v>
      </c>
      <c r="K32" s="10">
        <v>45930.0</v>
      </c>
      <c r="L32" s="27" t="s">
        <v>142</v>
      </c>
      <c r="M32" s="5" t="s">
        <v>34</v>
      </c>
      <c r="N32" s="10">
        <v>45931.0</v>
      </c>
      <c r="O32" s="11" t="s">
        <v>33</v>
      </c>
      <c r="P32" s="5"/>
      <c r="Q32" s="10"/>
      <c r="R32" s="11" t="s">
        <v>38</v>
      </c>
      <c r="S32" s="5" t="s">
        <v>36</v>
      </c>
      <c r="T32" s="10">
        <v>45950.0</v>
      </c>
      <c r="U32" s="11" t="s">
        <v>33</v>
      </c>
      <c r="V32" s="5" t="s">
        <v>143</v>
      </c>
      <c r="W32" s="10"/>
      <c r="X32" s="11" t="s">
        <v>38</v>
      </c>
      <c r="Y32" s="34" t="s">
        <v>344</v>
      </c>
      <c r="Z32" s="23">
        <v>45936.0</v>
      </c>
      <c r="AA32" s="24" t="s">
        <v>33</v>
      </c>
      <c r="AB32" s="28" t="s">
        <v>424</v>
      </c>
      <c r="AC32" s="26" t="s">
        <v>41</v>
      </c>
      <c r="AD32" s="23">
        <v>45937.0</v>
      </c>
      <c r="AE32" s="11" t="s">
        <v>33</v>
      </c>
    </row>
    <row r="33" ht="22.5" hidden="1" customHeight="1">
      <c r="A33" s="5">
        <v>4.0</v>
      </c>
      <c r="B33" s="21">
        <v>3.0</v>
      </c>
      <c r="C33" s="5" t="s">
        <v>425</v>
      </c>
      <c r="D33" s="16" t="s">
        <v>68</v>
      </c>
      <c r="E33" s="7" t="str">
        <f>IFERROR(__xludf.DUMMYFUNCTION("IF(AND(F33 &gt; 0.3, F33 &lt; 0.5), SPARKLINE(F33,{""charttype"",""bar"";""color1"",""Gold"";""max"",1}),
IF(F33 = 1, SPARKLINE(F33,{""charttype"",""bar"";""color1"",""Lime"";""max"",1}),
IF(F33 &gt;= 0.5, SPARKLINE(F33,{""charttype"",""bar"";""color1"",""GreenYel"&amp;"low"";""max"",1}),
SPARKLINE(F33,{""charttype"",""bar"";""color1"",""DarkOrange"";""max"",1}))))"),"")</f>
        <v/>
      </c>
      <c r="F33" s="8">
        <f t="shared" si="1"/>
        <v>1</v>
      </c>
      <c r="G33" s="14" t="s">
        <v>426</v>
      </c>
      <c r="H33" s="5" t="s">
        <v>141</v>
      </c>
      <c r="I33" s="10">
        <v>45930.0</v>
      </c>
      <c r="J33" s="11" t="s">
        <v>33</v>
      </c>
      <c r="K33" s="10">
        <v>45930.0</v>
      </c>
      <c r="L33" s="27" t="s">
        <v>142</v>
      </c>
      <c r="M33" s="5" t="s">
        <v>34</v>
      </c>
      <c r="N33" s="10">
        <v>45931.0</v>
      </c>
      <c r="O33" s="11" t="s">
        <v>33</v>
      </c>
      <c r="P33" s="5"/>
      <c r="Q33" s="10"/>
      <c r="R33" s="11" t="s">
        <v>38</v>
      </c>
      <c r="S33" s="5" t="s">
        <v>36</v>
      </c>
      <c r="T33" s="10">
        <v>45950.0</v>
      </c>
      <c r="U33" s="11" t="s">
        <v>33</v>
      </c>
      <c r="V33" s="5" t="s">
        <v>143</v>
      </c>
      <c r="W33" s="10"/>
      <c r="X33" s="11" t="s">
        <v>38</v>
      </c>
      <c r="Y33" s="34" t="s">
        <v>344</v>
      </c>
      <c r="Z33" s="23">
        <v>45936.0</v>
      </c>
      <c r="AA33" s="24" t="s">
        <v>33</v>
      </c>
      <c r="AB33" s="28" t="s">
        <v>427</v>
      </c>
      <c r="AC33" s="26" t="s">
        <v>41</v>
      </c>
      <c r="AD33" s="23">
        <v>45937.0</v>
      </c>
      <c r="AE33" s="11" t="s">
        <v>33</v>
      </c>
    </row>
    <row r="34" ht="22.5" customHeight="1">
      <c r="A34" s="5">
        <v>4.0</v>
      </c>
      <c r="B34" s="21">
        <v>4.0</v>
      </c>
      <c r="C34" s="5" t="s">
        <v>428</v>
      </c>
      <c r="D34" s="16" t="s">
        <v>30</v>
      </c>
      <c r="E34" s="7" t="str">
        <f>IFERROR(__xludf.DUMMYFUNCTION("IF(AND(F34 &gt; 0.3, F34 &lt; 0.5), SPARKLINE(F34,{""charttype"",""bar"";""color1"",""Gold"";""max"",1}),
IF(F34 = 1, SPARKLINE(F34,{""charttype"",""bar"";""color1"",""Lime"";""max"",1}),
IF(F34 &gt;= 0.5, SPARKLINE(F34,{""charttype"",""bar"";""color1"",""GreenYel"&amp;"low"";""max"",1}),
SPARKLINE(F34,{""charttype"",""bar"";""color1"",""DarkOrange"";""max"",1}))))"),"")</f>
        <v/>
      </c>
      <c r="F34" s="8">
        <f t="shared" si="1"/>
        <v>1</v>
      </c>
      <c r="G34" s="14" t="s">
        <v>429</v>
      </c>
      <c r="H34" s="5" t="s">
        <v>141</v>
      </c>
      <c r="I34" s="10">
        <v>45933.0</v>
      </c>
      <c r="J34" s="11" t="s">
        <v>33</v>
      </c>
      <c r="K34" s="10">
        <v>45933.0</v>
      </c>
      <c r="L34" s="27" t="s">
        <v>142</v>
      </c>
      <c r="M34" s="5" t="s">
        <v>34</v>
      </c>
      <c r="N34" s="10">
        <v>45936.0</v>
      </c>
      <c r="O34" s="11" t="s">
        <v>33</v>
      </c>
      <c r="P34" s="5" t="s">
        <v>141</v>
      </c>
      <c r="Q34" s="10">
        <v>45937.0</v>
      </c>
      <c r="R34" s="11" t="s">
        <v>33</v>
      </c>
      <c r="S34" s="5" t="s">
        <v>36</v>
      </c>
      <c r="T34" s="10">
        <v>45950.0</v>
      </c>
      <c r="U34" s="11" t="s">
        <v>33</v>
      </c>
      <c r="V34" s="5" t="s">
        <v>143</v>
      </c>
      <c r="W34" s="10"/>
      <c r="X34" s="11" t="s">
        <v>38</v>
      </c>
      <c r="Y34" s="9" t="s">
        <v>334</v>
      </c>
      <c r="Z34" s="23">
        <v>45939.0</v>
      </c>
      <c r="AA34" s="24" t="s">
        <v>33</v>
      </c>
      <c r="AB34" s="28" t="s">
        <v>430</v>
      </c>
      <c r="AC34" s="26" t="s">
        <v>41</v>
      </c>
      <c r="AD34" s="23">
        <v>45940.0</v>
      </c>
      <c r="AE34" s="11" t="s">
        <v>33</v>
      </c>
    </row>
    <row r="35" ht="22.5" customHeight="1">
      <c r="A35" s="5">
        <v>4.0</v>
      </c>
      <c r="B35" s="21">
        <v>4.0</v>
      </c>
      <c r="C35" s="5" t="s">
        <v>431</v>
      </c>
      <c r="D35" s="16" t="s">
        <v>30</v>
      </c>
      <c r="E35" s="7" t="str">
        <f>IFERROR(__xludf.DUMMYFUNCTION("IF(AND(F35 &gt; 0.3, F35 &lt; 0.5), SPARKLINE(F35,{""charttype"",""bar"";""color1"",""Gold"";""max"",1}),
IF(F35 = 1, SPARKLINE(F35,{""charttype"",""bar"";""color1"",""Lime"";""max"",1}),
IF(F35 &gt;= 0.5, SPARKLINE(F35,{""charttype"",""bar"";""color1"",""GreenYel"&amp;"low"";""max"",1}),
SPARKLINE(F35,{""charttype"",""bar"";""color1"",""DarkOrange"";""max"",1}))))"),"")</f>
        <v/>
      </c>
      <c r="F35" s="8">
        <f t="shared" si="1"/>
        <v>1</v>
      </c>
      <c r="G35" s="14" t="s">
        <v>432</v>
      </c>
      <c r="H35" s="5" t="s">
        <v>141</v>
      </c>
      <c r="I35" s="10">
        <v>45933.0</v>
      </c>
      <c r="J35" s="11" t="s">
        <v>33</v>
      </c>
      <c r="K35" s="10">
        <v>45933.0</v>
      </c>
      <c r="L35" s="27" t="s">
        <v>142</v>
      </c>
      <c r="M35" s="5" t="s">
        <v>34</v>
      </c>
      <c r="N35" s="10">
        <v>45936.0</v>
      </c>
      <c r="O35" s="11" t="s">
        <v>33</v>
      </c>
      <c r="P35" s="5" t="s">
        <v>141</v>
      </c>
      <c r="Q35" s="10">
        <v>45937.0</v>
      </c>
      <c r="R35" s="11" t="s">
        <v>33</v>
      </c>
      <c r="S35" s="5" t="s">
        <v>36</v>
      </c>
      <c r="T35" s="10">
        <v>45950.0</v>
      </c>
      <c r="U35" s="11" t="s">
        <v>33</v>
      </c>
      <c r="V35" s="5" t="s">
        <v>143</v>
      </c>
      <c r="W35" s="10"/>
      <c r="X35" s="11" t="s">
        <v>38</v>
      </c>
      <c r="Y35" s="9" t="s">
        <v>334</v>
      </c>
      <c r="Z35" s="23">
        <v>45939.0</v>
      </c>
      <c r="AA35" s="24" t="s">
        <v>33</v>
      </c>
      <c r="AB35" s="28" t="s">
        <v>433</v>
      </c>
      <c r="AC35" s="26" t="s">
        <v>41</v>
      </c>
      <c r="AD35" s="23">
        <v>45940.0</v>
      </c>
      <c r="AE35" s="11" t="s">
        <v>33</v>
      </c>
    </row>
    <row r="36" ht="22.5" hidden="1" customHeight="1">
      <c r="A36" s="5">
        <v>4.0</v>
      </c>
      <c r="B36" s="21">
        <v>4.0</v>
      </c>
      <c r="C36" s="5" t="s">
        <v>434</v>
      </c>
      <c r="D36" s="16" t="s">
        <v>49</v>
      </c>
      <c r="E36" s="7" t="str">
        <f>IFERROR(__xludf.DUMMYFUNCTION("IF(AND(F36 &gt; 0.3, F36 &lt; 0.5), SPARKLINE(F36,{""charttype"",""bar"";""color1"",""Gold"";""max"",1}),
IF(F36 = 1, SPARKLINE(F36,{""charttype"",""bar"";""color1"",""Lime"";""max"",1}),
IF(F36 &gt;= 0.5, SPARKLINE(F36,{""charttype"",""bar"";""color1"",""GreenYel"&amp;"low"";""max"",1}),
SPARKLINE(F36,{""charttype"",""bar"";""color1"",""DarkOrange"";""max"",1}))))"),"")</f>
        <v/>
      </c>
      <c r="F36" s="8">
        <f t="shared" si="1"/>
        <v>1</v>
      </c>
      <c r="G36" s="14" t="s">
        <v>435</v>
      </c>
      <c r="H36" s="5" t="s">
        <v>141</v>
      </c>
      <c r="I36" s="10">
        <v>45933.0</v>
      </c>
      <c r="J36" s="11" t="s">
        <v>33</v>
      </c>
      <c r="K36" s="10">
        <v>45933.0</v>
      </c>
      <c r="L36" s="27" t="s">
        <v>142</v>
      </c>
      <c r="M36" s="5" t="s">
        <v>34</v>
      </c>
      <c r="N36" s="10">
        <v>45936.0</v>
      </c>
      <c r="O36" s="11" t="s">
        <v>33</v>
      </c>
      <c r="P36" s="5"/>
      <c r="Q36" s="10"/>
      <c r="R36" s="11" t="s">
        <v>38</v>
      </c>
      <c r="S36" s="5" t="s">
        <v>36</v>
      </c>
      <c r="T36" s="10">
        <v>45950.0</v>
      </c>
      <c r="U36" s="11" t="s">
        <v>33</v>
      </c>
      <c r="V36" s="5" t="s">
        <v>143</v>
      </c>
      <c r="W36" s="10"/>
      <c r="X36" s="11" t="s">
        <v>38</v>
      </c>
      <c r="Y36" s="34" t="s">
        <v>344</v>
      </c>
      <c r="Z36" s="23">
        <v>45939.0</v>
      </c>
      <c r="AA36" s="24" t="s">
        <v>33</v>
      </c>
      <c r="AB36" s="28" t="s">
        <v>436</v>
      </c>
      <c r="AC36" s="26" t="s">
        <v>41</v>
      </c>
      <c r="AD36" s="23">
        <v>45937.0</v>
      </c>
      <c r="AE36" s="11" t="s">
        <v>33</v>
      </c>
    </row>
    <row r="37" ht="22.5" hidden="1" customHeight="1">
      <c r="A37" s="5">
        <v>4.0</v>
      </c>
      <c r="B37" s="21">
        <v>4.0</v>
      </c>
      <c r="C37" s="5" t="s">
        <v>437</v>
      </c>
      <c r="D37" s="16" t="s">
        <v>49</v>
      </c>
      <c r="E37" s="7" t="str">
        <f>IFERROR(__xludf.DUMMYFUNCTION("IF(AND(F37 &gt; 0.3, F37 &lt; 0.5), SPARKLINE(F37,{""charttype"",""bar"";""color1"",""Gold"";""max"",1}),
IF(F37 = 1, SPARKLINE(F37,{""charttype"",""bar"";""color1"",""Lime"";""max"",1}),
IF(F37 &gt;= 0.5, SPARKLINE(F37,{""charttype"",""bar"";""color1"",""GreenYel"&amp;"low"";""max"",1}),
SPARKLINE(F37,{""charttype"",""bar"";""color1"",""DarkOrange"";""max"",1}))))"),"")</f>
        <v/>
      </c>
      <c r="F37" s="8">
        <f t="shared" si="1"/>
        <v>1</v>
      </c>
      <c r="G37" s="14" t="s">
        <v>438</v>
      </c>
      <c r="H37" s="5" t="s">
        <v>141</v>
      </c>
      <c r="I37" s="10">
        <v>45933.0</v>
      </c>
      <c r="J37" s="11" t="s">
        <v>33</v>
      </c>
      <c r="K37" s="10">
        <v>45933.0</v>
      </c>
      <c r="L37" s="27" t="s">
        <v>142</v>
      </c>
      <c r="M37" s="5" t="s">
        <v>34</v>
      </c>
      <c r="N37" s="10">
        <v>45936.0</v>
      </c>
      <c r="O37" s="11" t="s">
        <v>33</v>
      </c>
      <c r="P37" s="5"/>
      <c r="Q37" s="10"/>
      <c r="R37" s="11" t="s">
        <v>38</v>
      </c>
      <c r="S37" s="5" t="s">
        <v>36</v>
      </c>
      <c r="T37" s="10">
        <v>45950.0</v>
      </c>
      <c r="U37" s="11" t="s">
        <v>33</v>
      </c>
      <c r="V37" s="5" t="s">
        <v>143</v>
      </c>
      <c r="W37" s="10"/>
      <c r="X37" s="11" t="s">
        <v>38</v>
      </c>
      <c r="Y37" s="34" t="s">
        <v>344</v>
      </c>
      <c r="Z37" s="23">
        <v>45939.0</v>
      </c>
      <c r="AA37" s="24" t="s">
        <v>33</v>
      </c>
      <c r="AB37" s="28" t="s">
        <v>439</v>
      </c>
      <c r="AC37" s="26" t="s">
        <v>41</v>
      </c>
      <c r="AD37" s="23">
        <v>45940.0</v>
      </c>
      <c r="AE37" s="11" t="s">
        <v>33</v>
      </c>
    </row>
    <row r="38" ht="22.5" hidden="1" customHeight="1">
      <c r="A38" s="5">
        <v>4.0</v>
      </c>
      <c r="B38" s="21">
        <v>4.0</v>
      </c>
      <c r="C38" s="5" t="s">
        <v>440</v>
      </c>
      <c r="D38" s="16" t="s">
        <v>60</v>
      </c>
      <c r="E38" s="7" t="str">
        <f>IFERROR(__xludf.DUMMYFUNCTION("IF(AND(F38 &gt; 0.3, F38 &lt; 0.5), SPARKLINE(F38,{""charttype"",""bar"";""color1"",""Gold"";""max"",1}),
IF(F38 = 1, SPARKLINE(F38,{""charttype"",""bar"";""color1"",""Lime"";""max"",1}),
IF(F38 &gt;= 0.5, SPARKLINE(F38,{""charttype"",""bar"";""color1"",""GreenYel"&amp;"low"";""max"",1}),
SPARKLINE(F38,{""charttype"",""bar"";""color1"",""DarkOrange"";""max"",1}))))"),"")</f>
        <v/>
      </c>
      <c r="F38" s="8">
        <f t="shared" si="1"/>
        <v>1</v>
      </c>
      <c r="G38" s="14" t="s">
        <v>441</v>
      </c>
      <c r="H38" s="5" t="s">
        <v>141</v>
      </c>
      <c r="I38" s="10">
        <v>45933.0</v>
      </c>
      <c r="J38" s="11" t="s">
        <v>33</v>
      </c>
      <c r="K38" s="10">
        <v>45933.0</v>
      </c>
      <c r="L38" s="27" t="s">
        <v>142</v>
      </c>
      <c r="M38" s="5" t="s">
        <v>34</v>
      </c>
      <c r="N38" s="10">
        <v>45936.0</v>
      </c>
      <c r="O38" s="11" t="s">
        <v>33</v>
      </c>
      <c r="P38" s="5"/>
      <c r="Q38" s="10"/>
      <c r="R38" s="11" t="s">
        <v>38</v>
      </c>
      <c r="S38" s="5" t="s">
        <v>36</v>
      </c>
      <c r="T38" s="10">
        <v>45950.0</v>
      </c>
      <c r="U38" s="11" t="s">
        <v>33</v>
      </c>
      <c r="V38" s="5" t="s">
        <v>143</v>
      </c>
      <c r="W38" s="10"/>
      <c r="X38" s="11" t="s">
        <v>38</v>
      </c>
      <c r="Y38" s="34" t="s">
        <v>344</v>
      </c>
      <c r="Z38" s="23">
        <v>45939.0</v>
      </c>
      <c r="AA38" s="24" t="s">
        <v>33</v>
      </c>
      <c r="AB38" s="28" t="s">
        <v>442</v>
      </c>
      <c r="AC38" s="26" t="s">
        <v>41</v>
      </c>
      <c r="AD38" s="23">
        <v>45940.0</v>
      </c>
      <c r="AE38" s="11" t="s">
        <v>33</v>
      </c>
    </row>
    <row r="39" ht="22.5" hidden="1" customHeight="1">
      <c r="A39" s="5">
        <v>4.0</v>
      </c>
      <c r="B39" s="21">
        <v>4.0</v>
      </c>
      <c r="C39" s="5" t="s">
        <v>443</v>
      </c>
      <c r="D39" s="16" t="s">
        <v>64</v>
      </c>
      <c r="E39" s="7" t="str">
        <f>IFERROR(__xludf.DUMMYFUNCTION("IF(AND(F39 &gt; 0.3, F39 &lt; 0.5), SPARKLINE(F39,{""charttype"",""bar"";""color1"",""Gold"";""max"",1}),
IF(F39 = 1, SPARKLINE(F39,{""charttype"",""bar"";""color1"",""Lime"";""max"",1}),
IF(F39 &gt;= 0.5, SPARKLINE(F39,{""charttype"",""bar"";""color1"",""GreenYel"&amp;"low"";""max"",1}),
SPARKLINE(F39,{""charttype"",""bar"";""color1"",""DarkOrange"";""max"",1}))))"),"")</f>
        <v/>
      </c>
      <c r="F39" s="8">
        <f t="shared" si="1"/>
        <v>1</v>
      </c>
      <c r="G39" s="14" t="s">
        <v>444</v>
      </c>
      <c r="H39" s="5" t="s">
        <v>141</v>
      </c>
      <c r="I39" s="10">
        <v>45933.0</v>
      </c>
      <c r="J39" s="11" t="s">
        <v>33</v>
      </c>
      <c r="K39" s="10">
        <v>45933.0</v>
      </c>
      <c r="L39" s="27" t="s">
        <v>142</v>
      </c>
      <c r="M39" s="5" t="s">
        <v>34</v>
      </c>
      <c r="N39" s="10">
        <v>45936.0</v>
      </c>
      <c r="O39" s="11" t="s">
        <v>33</v>
      </c>
      <c r="P39" s="5"/>
      <c r="Q39" s="10"/>
      <c r="R39" s="11" t="s">
        <v>38</v>
      </c>
      <c r="S39" s="5" t="s">
        <v>36</v>
      </c>
      <c r="T39" s="10">
        <v>45950.0</v>
      </c>
      <c r="U39" s="11" t="s">
        <v>33</v>
      </c>
      <c r="V39" s="5" t="s">
        <v>143</v>
      </c>
      <c r="W39" s="10"/>
      <c r="X39" s="11" t="s">
        <v>38</v>
      </c>
      <c r="Y39" s="34" t="s">
        <v>344</v>
      </c>
      <c r="Z39" s="23">
        <v>45939.0</v>
      </c>
      <c r="AA39" s="24" t="s">
        <v>33</v>
      </c>
      <c r="AB39" s="28" t="s">
        <v>445</v>
      </c>
      <c r="AC39" s="26" t="s">
        <v>41</v>
      </c>
      <c r="AD39" s="23">
        <v>45940.0</v>
      </c>
      <c r="AE39" s="11" t="s">
        <v>33</v>
      </c>
    </row>
    <row r="40" ht="22.5" hidden="1" customHeight="1">
      <c r="A40" s="5">
        <v>4.0</v>
      </c>
      <c r="B40" s="21">
        <v>4.0</v>
      </c>
      <c r="C40" s="5" t="s">
        <v>446</v>
      </c>
      <c r="D40" s="16" t="s">
        <v>169</v>
      </c>
      <c r="E40" s="7" t="str">
        <f>IFERROR(__xludf.DUMMYFUNCTION("IF(AND(F40 &gt; 0.3, F40 &lt; 0.5), SPARKLINE(F40,{""charttype"",""bar"";""color1"",""Gold"";""max"",1}),
IF(F40 = 1, SPARKLINE(F40,{""charttype"",""bar"";""color1"",""Lime"";""max"",1}),
IF(F40 &gt;= 0.5, SPARKLINE(F40,{""charttype"",""bar"";""color1"",""GreenYel"&amp;"low"";""max"",1}),
SPARKLINE(F40,{""charttype"",""bar"";""color1"",""DarkOrange"";""max"",1}))))"),"")</f>
        <v/>
      </c>
      <c r="F40" s="8">
        <f t="shared" si="1"/>
        <v>1</v>
      </c>
      <c r="G40" s="19"/>
      <c r="H40" s="5" t="s">
        <v>141</v>
      </c>
      <c r="I40" s="10">
        <v>45933.0</v>
      </c>
      <c r="J40" s="11" t="s">
        <v>33</v>
      </c>
      <c r="K40" s="10">
        <v>45933.0</v>
      </c>
      <c r="L40" s="27" t="s">
        <v>142</v>
      </c>
      <c r="M40" s="5" t="s">
        <v>34</v>
      </c>
      <c r="N40" s="10">
        <v>45936.0</v>
      </c>
      <c r="O40" s="11" t="s">
        <v>33</v>
      </c>
      <c r="P40" s="5" t="s">
        <v>141</v>
      </c>
      <c r="Q40" s="10">
        <v>45937.0</v>
      </c>
      <c r="R40" s="11" t="s">
        <v>33</v>
      </c>
      <c r="S40" s="5" t="s">
        <v>36</v>
      </c>
      <c r="T40" s="10">
        <v>45950.0</v>
      </c>
      <c r="U40" s="11" t="s">
        <v>33</v>
      </c>
      <c r="V40" s="5" t="s">
        <v>143</v>
      </c>
      <c r="W40" s="10"/>
      <c r="X40" s="11" t="s">
        <v>38</v>
      </c>
      <c r="Y40" s="9" t="s">
        <v>334</v>
      </c>
      <c r="Z40" s="23">
        <v>45939.0</v>
      </c>
      <c r="AA40" s="24" t="s">
        <v>33</v>
      </c>
      <c r="AB40" s="28" t="s">
        <v>447</v>
      </c>
      <c r="AC40" s="26" t="s">
        <v>41</v>
      </c>
      <c r="AD40" s="23">
        <v>45940.0</v>
      </c>
      <c r="AE40" s="11" t="s">
        <v>33</v>
      </c>
    </row>
    <row r="41" ht="22.5" hidden="1" customHeight="1">
      <c r="A41" s="5">
        <v>4.0</v>
      </c>
      <c r="B41" s="21">
        <v>4.0</v>
      </c>
      <c r="C41" s="5" t="s">
        <v>448</v>
      </c>
      <c r="D41" s="16" t="s">
        <v>72</v>
      </c>
      <c r="E41" s="7" t="str">
        <f>IFERROR(__xludf.DUMMYFUNCTION("IF(AND(F41 &gt; 0.3, F41 &lt; 0.5), SPARKLINE(F41,{""charttype"",""bar"";""color1"",""Gold"";""max"",1}),
IF(F41 = 1, SPARKLINE(F41,{""charttype"",""bar"";""color1"",""Lime"";""max"",1}),
IF(F41 &gt;= 0.5, SPARKLINE(F41,{""charttype"",""bar"";""color1"",""GreenYel"&amp;"low"";""max"",1}),
SPARKLINE(F41,{""charttype"",""bar"";""color1"",""DarkOrange"";""max"",1}))))"),"")</f>
        <v/>
      </c>
      <c r="F41" s="8">
        <f t="shared" si="1"/>
        <v>1</v>
      </c>
      <c r="G41" s="14" t="s">
        <v>449</v>
      </c>
      <c r="H41" s="5" t="s">
        <v>141</v>
      </c>
      <c r="I41" s="10">
        <v>45933.0</v>
      </c>
      <c r="J41" s="11" t="s">
        <v>33</v>
      </c>
      <c r="K41" s="10">
        <v>45933.0</v>
      </c>
      <c r="L41" s="27" t="s">
        <v>142</v>
      </c>
      <c r="M41" s="5" t="s">
        <v>34</v>
      </c>
      <c r="N41" s="10">
        <v>45936.0</v>
      </c>
      <c r="O41" s="11" t="s">
        <v>33</v>
      </c>
      <c r="P41" s="5"/>
      <c r="Q41" s="10"/>
      <c r="R41" s="11" t="s">
        <v>38</v>
      </c>
      <c r="S41" s="5" t="s">
        <v>36</v>
      </c>
      <c r="T41" s="10">
        <v>45950.0</v>
      </c>
      <c r="U41" s="11" t="s">
        <v>33</v>
      </c>
      <c r="V41" s="5" t="s">
        <v>143</v>
      </c>
      <c r="W41" s="10"/>
      <c r="X41" s="11" t="s">
        <v>38</v>
      </c>
      <c r="Y41" s="34" t="s">
        <v>344</v>
      </c>
      <c r="Z41" s="23">
        <v>45939.0</v>
      </c>
      <c r="AA41" s="24" t="s">
        <v>33</v>
      </c>
      <c r="AB41" s="28" t="s">
        <v>450</v>
      </c>
      <c r="AC41" s="26" t="s">
        <v>41</v>
      </c>
      <c r="AD41" s="23">
        <v>45940.0</v>
      </c>
      <c r="AE41" s="11" t="s">
        <v>33</v>
      </c>
    </row>
    <row r="42" ht="22.5" hidden="1" customHeight="1">
      <c r="A42" s="5">
        <v>4.0</v>
      </c>
      <c r="B42" s="21">
        <v>4.0</v>
      </c>
      <c r="C42" s="5" t="s">
        <v>451</v>
      </c>
      <c r="D42" s="16" t="s">
        <v>68</v>
      </c>
      <c r="E42" s="7" t="str">
        <f>IFERROR(__xludf.DUMMYFUNCTION("IF(AND(F42 &gt; 0.3, F42 &lt; 0.5), SPARKLINE(F42,{""charttype"",""bar"";""color1"",""Gold"";""max"",1}),
IF(F42 = 1, SPARKLINE(F42,{""charttype"",""bar"";""color1"",""Lime"";""max"",1}),
IF(F42 &gt;= 0.5, SPARKLINE(F42,{""charttype"",""bar"";""color1"",""GreenYel"&amp;"low"";""max"",1}),
SPARKLINE(F42,{""charttype"",""bar"";""color1"",""DarkOrange"";""max"",1}))))"),"")</f>
        <v/>
      </c>
      <c r="F42" s="8">
        <f t="shared" si="1"/>
        <v>1</v>
      </c>
      <c r="G42" s="14" t="s">
        <v>452</v>
      </c>
      <c r="H42" s="5" t="s">
        <v>141</v>
      </c>
      <c r="I42" s="10">
        <v>45933.0</v>
      </c>
      <c r="J42" s="11" t="s">
        <v>33</v>
      </c>
      <c r="K42" s="10">
        <v>45933.0</v>
      </c>
      <c r="L42" s="27" t="s">
        <v>142</v>
      </c>
      <c r="M42" s="5" t="s">
        <v>34</v>
      </c>
      <c r="N42" s="10">
        <v>45936.0</v>
      </c>
      <c r="O42" s="11" t="s">
        <v>33</v>
      </c>
      <c r="P42" s="5"/>
      <c r="Q42" s="10"/>
      <c r="R42" s="11" t="s">
        <v>38</v>
      </c>
      <c r="S42" s="5" t="s">
        <v>36</v>
      </c>
      <c r="T42" s="10">
        <v>45950.0</v>
      </c>
      <c r="U42" s="11" t="s">
        <v>33</v>
      </c>
      <c r="V42" s="5" t="s">
        <v>143</v>
      </c>
      <c r="W42" s="10"/>
      <c r="X42" s="11" t="s">
        <v>38</v>
      </c>
      <c r="Y42" s="34" t="s">
        <v>344</v>
      </c>
      <c r="Z42" s="23">
        <v>45939.0</v>
      </c>
      <c r="AA42" s="24" t="s">
        <v>33</v>
      </c>
      <c r="AB42" s="28" t="s">
        <v>453</v>
      </c>
      <c r="AC42" s="26" t="s">
        <v>41</v>
      </c>
      <c r="AD42" s="23">
        <v>45940.0</v>
      </c>
      <c r="AE42" s="11" t="s">
        <v>33</v>
      </c>
    </row>
  </sheetData>
  <dataValidations>
    <dataValidation type="list" allowBlank="1" sqref="J2:J42 R2:R42 U2:U42 X2:X42 AA2:AA42">
      <formula1>"Concluído,Em Andamento,Pendente,Precisa de Alteração"</formula1>
    </dataValidation>
    <dataValidation type="custom" allowBlank="1" showDropDown="1" sqref="I2:I42 K2:K42 N2:N42 Q2:Q42 T2:T42 W2:W42 Z2:Z42 AD2:AD42">
      <formula1>OR(NOT(ISERROR(DATEVALUE(I2))), AND(ISNUMBER(I2), LEFT(CELL("format", I2))="D"))</formula1>
    </dataValidation>
    <dataValidation type="list" allowBlank="1" sqref="O2:O42 AE2:AE42">
      <formula1>"Concluído,Em Andamento,Pendente,Aguardando Correção"</formula1>
    </dataValidation>
    <dataValidation type="custom" allowBlank="1" showDropDown="1" sqref="F2:F42">
      <formula1>AND(ISNUMBER(F2),(NOT(OR(NOT(ISERROR(DATEVALUE(F2))), AND(ISNUMBER(F2), LEFT(CELL("format", F2))="D")))))</formula1>
    </dataValidation>
    <dataValidation type="list" allowBlank="1" sqref="L2:L42">
      <formula1>"No prazo,Atrasado,Concluído com Atraso"</formula1>
    </dataValidation>
  </dataValidations>
  <hyperlinks>
    <hyperlink r:id="rId1" ref="G2"/>
    <hyperlink r:id="rId2" ref="Y2"/>
    <hyperlink r:id="rId3" ref="AB2"/>
    <hyperlink r:id="rId4" ref="G3"/>
    <hyperlink r:id="rId5" ref="Y3"/>
    <hyperlink r:id="rId6" ref="AB3"/>
    <hyperlink r:id="rId7" ref="G4"/>
    <hyperlink r:id="rId8" ref="Y4"/>
    <hyperlink r:id="rId9" ref="AB4"/>
    <hyperlink r:id="rId10" ref="G5"/>
    <hyperlink r:id="rId11" ref="Y5"/>
    <hyperlink r:id="rId12" ref="AB5"/>
    <hyperlink r:id="rId13" ref="G6"/>
    <hyperlink r:id="rId14" ref="Y6"/>
    <hyperlink r:id="rId15" ref="AB6"/>
    <hyperlink r:id="rId16" ref="G7"/>
    <hyperlink r:id="rId17" ref="Y7"/>
    <hyperlink r:id="rId18" ref="AB7"/>
    <hyperlink r:id="rId19" ref="G8"/>
    <hyperlink r:id="rId20" ref="Y8"/>
    <hyperlink r:id="rId21" ref="AB8"/>
    <hyperlink r:id="rId22" ref="Y9"/>
    <hyperlink r:id="rId23" ref="AB9"/>
    <hyperlink r:id="rId24" ref="G10"/>
    <hyperlink r:id="rId25" ref="Y10"/>
    <hyperlink r:id="rId26" ref="AB10"/>
    <hyperlink r:id="rId27" ref="G11"/>
    <hyperlink r:id="rId28" ref="Y11"/>
    <hyperlink r:id="rId29" ref="AB11"/>
    <hyperlink r:id="rId30" ref="G12"/>
    <hyperlink r:id="rId31" ref="Y12"/>
    <hyperlink r:id="rId32" ref="AB12"/>
    <hyperlink r:id="rId33" ref="G13"/>
    <hyperlink r:id="rId34" ref="Y13"/>
    <hyperlink r:id="rId35" ref="AB13"/>
    <hyperlink r:id="rId36" ref="G14"/>
    <hyperlink r:id="rId37" ref="Y14"/>
    <hyperlink r:id="rId38" ref="AB14"/>
    <hyperlink r:id="rId39" ref="G15"/>
    <hyperlink r:id="rId40" ref="Y15"/>
    <hyperlink r:id="rId41" ref="AB15"/>
    <hyperlink r:id="rId42" ref="G16"/>
    <hyperlink r:id="rId43" ref="Y16"/>
    <hyperlink r:id="rId44" ref="AB16"/>
    <hyperlink r:id="rId45" ref="G17"/>
    <hyperlink r:id="rId46" ref="Y17"/>
    <hyperlink r:id="rId47" ref="AB17"/>
    <hyperlink r:id="rId48" ref="G18"/>
    <hyperlink r:id="rId49" ref="Y18"/>
    <hyperlink r:id="rId50" ref="AB18"/>
    <hyperlink r:id="rId51" ref="G19"/>
    <hyperlink r:id="rId52" ref="Y19"/>
    <hyperlink r:id="rId53" ref="AB19"/>
    <hyperlink r:id="rId54" ref="Y20"/>
    <hyperlink r:id="rId55" ref="AB20"/>
    <hyperlink r:id="rId56" ref="G21"/>
    <hyperlink r:id="rId57" ref="Y21"/>
    <hyperlink r:id="rId58" ref="AB21"/>
    <hyperlink r:id="rId59" ref="G22"/>
    <hyperlink r:id="rId60" ref="Y22"/>
    <hyperlink r:id="rId61" ref="AB22"/>
    <hyperlink r:id="rId62" ref="G23"/>
    <hyperlink r:id="rId63" ref="Y23"/>
    <hyperlink r:id="rId64" ref="AB23"/>
    <hyperlink r:id="rId65" ref="G24"/>
    <hyperlink r:id="rId66" ref="Y24"/>
    <hyperlink r:id="rId67" ref="AB24"/>
    <hyperlink r:id="rId68" ref="G25"/>
    <hyperlink r:id="rId69" ref="Y25"/>
    <hyperlink r:id="rId70" ref="AB25"/>
    <hyperlink r:id="rId71" ref="G26"/>
    <hyperlink r:id="rId72" ref="Y26"/>
    <hyperlink r:id="rId73" ref="AB26"/>
    <hyperlink r:id="rId74" ref="G27"/>
    <hyperlink r:id="rId75" ref="Y27"/>
    <hyperlink r:id="rId76" ref="AB27"/>
    <hyperlink r:id="rId77" ref="G28"/>
    <hyperlink r:id="rId78" ref="Y28"/>
    <hyperlink r:id="rId79" ref="AB28"/>
    <hyperlink r:id="rId80" ref="G29"/>
    <hyperlink r:id="rId81" ref="Y29"/>
    <hyperlink r:id="rId82" ref="AB29"/>
    <hyperlink r:id="rId83" ref="G30"/>
    <hyperlink r:id="rId84" ref="Y30"/>
    <hyperlink r:id="rId85" ref="AB30"/>
    <hyperlink r:id="rId86" ref="Y31"/>
    <hyperlink r:id="rId87" ref="AB31"/>
    <hyperlink r:id="rId88" ref="G32"/>
    <hyperlink r:id="rId89" ref="Y32"/>
    <hyperlink r:id="rId90" ref="AB32"/>
    <hyperlink r:id="rId91" ref="G33"/>
    <hyperlink r:id="rId92" ref="Y33"/>
    <hyperlink r:id="rId93" ref="AB33"/>
    <hyperlink r:id="rId94" ref="G34"/>
    <hyperlink r:id="rId95" ref="Y34"/>
    <hyperlink r:id="rId96" ref="AB34"/>
    <hyperlink r:id="rId97" ref="G35"/>
    <hyperlink r:id="rId98" ref="Y35"/>
    <hyperlink r:id="rId99" ref="AB35"/>
    <hyperlink r:id="rId100" ref="G36"/>
    <hyperlink r:id="rId101" ref="Y36"/>
    <hyperlink r:id="rId102" ref="AB36"/>
    <hyperlink r:id="rId103" ref="G37"/>
    <hyperlink r:id="rId104" ref="Y37"/>
    <hyperlink r:id="rId105" ref="AB37"/>
    <hyperlink r:id="rId106" ref="G38"/>
    <hyperlink r:id="rId107" ref="Y38"/>
    <hyperlink r:id="rId108" ref="AB38"/>
    <hyperlink r:id="rId109" ref="G39"/>
    <hyperlink r:id="rId110" ref="Y39"/>
    <hyperlink r:id="rId111" ref="AB39"/>
    <hyperlink r:id="rId112" ref="Y40"/>
    <hyperlink r:id="rId113" ref="AB40"/>
    <hyperlink r:id="rId114" ref="G41"/>
    <hyperlink r:id="rId115" ref="Y41"/>
    <hyperlink r:id="rId116" ref="AB41"/>
    <hyperlink r:id="rId117" ref="G42"/>
    <hyperlink r:id="rId118" ref="Y42"/>
    <hyperlink r:id="rId119" ref="AB42"/>
  </hyperlinks>
  <drawing r:id="rId120"/>
  <tableParts count="1">
    <tablePart r:id="rId12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9.13"/>
    <col customWidth="1" min="2" max="2" width="6.13"/>
    <col customWidth="1" min="3" max="3" width="11.38"/>
    <col customWidth="1" min="4" max="4" width="15.25"/>
    <col customWidth="1" min="5" max="5" width="17.75"/>
    <col customWidth="1" min="6" max="6" width="7.75"/>
    <col customWidth="1" min="7" max="7" width="27.0"/>
    <col customWidth="1" min="8" max="8" width="16.25"/>
    <col customWidth="1" min="9" max="9" width="20.13"/>
    <col customWidth="1" min="10" max="10" width="21.75"/>
    <col customWidth="1" min="11" max="11" width="16.25"/>
    <col customWidth="1" min="12" max="12" width="20.13"/>
    <col customWidth="1" min="13" max="13" width="21.75"/>
    <col customWidth="1" min="14" max="14" width="16.63"/>
    <col customWidth="1" min="15" max="15" width="20.13"/>
    <col customWidth="1" min="16" max="19" width="21.75"/>
    <col customWidth="1" min="20" max="20" width="16.25"/>
    <col customWidth="1" min="21" max="21" width="20.13"/>
    <col customWidth="1" min="22" max="22" width="21.75"/>
    <col customWidth="1" min="23" max="23" width="16.25"/>
    <col customWidth="1" min="24" max="24" width="20.13"/>
    <col customWidth="1" min="25" max="25" width="21.75"/>
    <col customWidth="1" min="26" max="26" width="30.13"/>
    <col customWidth="1" min="27" max="27" width="16.25"/>
    <col customWidth="1" min="28" max="28" width="20.13"/>
    <col customWidth="1" min="29" max="29" width="21.75"/>
  </cols>
  <sheetData>
    <row r="1" ht="22.5" customHeight="1">
      <c r="A1" s="1" t="s">
        <v>135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138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ht="22.5" customHeight="1">
      <c r="A2" s="5">
        <v>5.0</v>
      </c>
      <c r="B2" s="19">
        <v>1.0</v>
      </c>
      <c r="C2" s="5" t="s">
        <v>454</v>
      </c>
      <c r="D2" s="16" t="s">
        <v>30</v>
      </c>
      <c r="E2" s="7" t="str">
        <f>IFERROR(__xludf.DUMMYFUNCTION("IF(AND(F2 &gt; 0.3, F2 &lt; 0.5), SPARKLINE(F2,{""charttype"",""bar"";""color1"",""Gold"";""max"",1}),
IF(F2 = 1, SPARKLINE(F2,{""charttype"",""bar"";""color1"",""Lime"";""max"",1}),
IF(F2 &gt;= 0.5, SPARKLINE(F2,{""charttype"",""bar"";""color1"",""GreenYellow"";"&amp;"""max"",1}),
SPARKLINE(F2,{""charttype"",""bar"";""color1"",""DarkOrange"";""max"",1}))))"),"")</f>
        <v/>
      </c>
      <c r="F2" s="8">
        <f t="shared" ref="F2:F26" si="1">IF(OR(D2="ROTEIRO DE VÍDEO", D2="VÍDEO"), (IF(J2="Concluído", 1, 0) + IF(M2="Concluído", 1, 0) + IF(P2="Concluído", 1, 0) + IF(Y2="Concluído", 1, 0) + IF(AC2="Concluído", 1, 0)) / 5,
IF(OR(D2="SLIDE", D2="FÓRUM", D2="PLANO DE AULA", D2="QUIZ", D2="TAREFA", D2="EBOOK", D2="PDF(AVULSO)"), (IF(J2="Concluído", 1, 0) + IF(M2="Concluído", 1, 0) + IF(Y2="Concluído", 1, 0) + IF(AC2="Concluído", 1, 0)) / 4,0))</f>
        <v>1</v>
      </c>
      <c r="G2" s="14" t="s">
        <v>455</v>
      </c>
      <c r="H2" s="5" t="s">
        <v>456</v>
      </c>
      <c r="I2" s="10">
        <v>45908.0</v>
      </c>
      <c r="J2" s="11" t="s">
        <v>33</v>
      </c>
      <c r="K2" s="5" t="s">
        <v>457</v>
      </c>
      <c r="L2" s="10">
        <v>45909.0</v>
      </c>
      <c r="M2" s="11" t="s">
        <v>33</v>
      </c>
      <c r="N2" s="5" t="s">
        <v>456</v>
      </c>
      <c r="O2" s="10">
        <v>45911.0</v>
      </c>
      <c r="P2" s="11" t="s">
        <v>33</v>
      </c>
      <c r="Q2" s="5" t="s">
        <v>36</v>
      </c>
      <c r="R2" s="10">
        <v>46013.0</v>
      </c>
      <c r="S2" s="12" t="s">
        <v>33</v>
      </c>
      <c r="T2" s="5" t="s">
        <v>458</v>
      </c>
      <c r="U2" s="10"/>
      <c r="V2" s="11" t="s">
        <v>38</v>
      </c>
      <c r="W2" s="5" t="s">
        <v>459</v>
      </c>
      <c r="X2" s="10">
        <v>46013.0</v>
      </c>
      <c r="Y2" s="11" t="s">
        <v>33</v>
      </c>
      <c r="Z2" s="31" t="s">
        <v>460</v>
      </c>
      <c r="AA2" s="5" t="s">
        <v>41</v>
      </c>
      <c r="AB2" s="23">
        <v>46014.0</v>
      </c>
      <c r="AC2" s="11" t="s">
        <v>33</v>
      </c>
    </row>
    <row r="3" ht="22.5" customHeight="1">
      <c r="A3" s="5">
        <v>5.0</v>
      </c>
      <c r="B3" s="19">
        <v>1.0</v>
      </c>
      <c r="C3" s="5" t="s">
        <v>461</v>
      </c>
      <c r="D3" s="16" t="s">
        <v>30</v>
      </c>
      <c r="E3" s="7" t="str">
        <f>IFERROR(__xludf.DUMMYFUNCTION("IF(AND(F3 &gt; 0.3, F3 &lt; 0.5), SPARKLINE(F3,{""charttype"",""bar"";""color1"",""Gold"";""max"",1}),
IF(F3 = 1, SPARKLINE(F3,{""charttype"",""bar"";""color1"",""Lime"";""max"",1}),
IF(F3 &gt;= 0.5, SPARKLINE(F3,{""charttype"",""bar"";""color1"",""GreenYellow"";"&amp;"""max"",1}),
SPARKLINE(F3,{""charttype"",""bar"";""color1"",""DarkOrange"";""max"",1}))))"),"")</f>
        <v/>
      </c>
      <c r="F3" s="8">
        <f t="shared" si="1"/>
        <v>1</v>
      </c>
      <c r="G3" s="14" t="s">
        <v>462</v>
      </c>
      <c r="H3" s="5" t="s">
        <v>456</v>
      </c>
      <c r="I3" s="10">
        <v>45908.0</v>
      </c>
      <c r="J3" s="11" t="s">
        <v>33</v>
      </c>
      <c r="K3" s="5" t="s">
        <v>457</v>
      </c>
      <c r="L3" s="10">
        <v>45909.0</v>
      </c>
      <c r="M3" s="11" t="s">
        <v>33</v>
      </c>
      <c r="N3" s="5" t="s">
        <v>456</v>
      </c>
      <c r="O3" s="10">
        <v>45911.0</v>
      </c>
      <c r="P3" s="11" t="s">
        <v>33</v>
      </c>
      <c r="Q3" s="5" t="s">
        <v>36</v>
      </c>
      <c r="R3" s="10">
        <v>46013.0</v>
      </c>
      <c r="S3" s="12" t="s">
        <v>33</v>
      </c>
      <c r="T3" s="5" t="s">
        <v>458</v>
      </c>
      <c r="U3" s="10"/>
      <c r="V3" s="11" t="s">
        <v>38</v>
      </c>
      <c r="W3" s="5" t="s">
        <v>459</v>
      </c>
      <c r="X3" s="10">
        <v>46013.0</v>
      </c>
      <c r="Y3" s="11" t="s">
        <v>33</v>
      </c>
      <c r="Z3" s="31" t="s">
        <v>463</v>
      </c>
      <c r="AA3" s="5" t="s">
        <v>41</v>
      </c>
      <c r="AB3" s="23">
        <v>46014.0</v>
      </c>
      <c r="AC3" s="11" t="s">
        <v>33</v>
      </c>
    </row>
    <row r="4" ht="22.5" customHeight="1">
      <c r="A4" s="5">
        <v>5.0</v>
      </c>
      <c r="B4" s="19">
        <v>1.0</v>
      </c>
      <c r="C4" s="5" t="s">
        <v>464</v>
      </c>
      <c r="D4" s="16" t="s">
        <v>49</v>
      </c>
      <c r="E4" s="7" t="str">
        <f>IFERROR(__xludf.DUMMYFUNCTION("IF(AND(F4 &gt; 0.3, F4 &lt; 0.5), SPARKLINE(F4,{""charttype"",""bar"";""color1"",""Gold"";""max"",1}),
IF(F4 = 1, SPARKLINE(F4,{""charttype"",""bar"";""color1"",""Lime"";""max"",1}),
IF(F4 &gt;= 0.5, SPARKLINE(F4,{""charttype"",""bar"";""color1"",""GreenYellow"";"&amp;"""max"",1}),
SPARKLINE(F4,{""charttype"",""bar"";""color1"",""DarkOrange"";""max"",1}))))"),"")</f>
        <v/>
      </c>
      <c r="F4" s="8">
        <f t="shared" si="1"/>
        <v>1</v>
      </c>
      <c r="G4" s="14" t="s">
        <v>465</v>
      </c>
      <c r="H4" s="5" t="s">
        <v>456</v>
      </c>
      <c r="I4" s="10">
        <v>45908.0</v>
      </c>
      <c r="J4" s="11" t="s">
        <v>33</v>
      </c>
      <c r="K4" s="5" t="s">
        <v>457</v>
      </c>
      <c r="L4" s="10">
        <v>45909.0</v>
      </c>
      <c r="M4" s="11" t="s">
        <v>33</v>
      </c>
      <c r="N4" s="5"/>
      <c r="O4" s="10"/>
      <c r="P4" s="11"/>
      <c r="Q4" s="5" t="s">
        <v>36</v>
      </c>
      <c r="R4" s="10">
        <v>46006.0</v>
      </c>
      <c r="S4" s="12" t="s">
        <v>33</v>
      </c>
      <c r="T4" s="5" t="s">
        <v>458</v>
      </c>
      <c r="U4" s="10"/>
      <c r="V4" s="11" t="s">
        <v>33</v>
      </c>
      <c r="W4" s="5" t="s">
        <v>51</v>
      </c>
      <c r="X4" s="10">
        <v>46006.0</v>
      </c>
      <c r="Y4" s="11" t="s">
        <v>33</v>
      </c>
      <c r="Z4" s="14" t="s">
        <v>466</v>
      </c>
      <c r="AA4" s="5" t="s">
        <v>41</v>
      </c>
      <c r="AB4" s="10">
        <v>46007.0</v>
      </c>
      <c r="AC4" s="11" t="s">
        <v>33</v>
      </c>
    </row>
    <row r="5" ht="22.5" customHeight="1">
      <c r="A5" s="5">
        <v>5.0</v>
      </c>
      <c r="B5" s="19">
        <v>1.0</v>
      </c>
      <c r="C5" s="5" t="s">
        <v>467</v>
      </c>
      <c r="D5" s="16" t="s">
        <v>49</v>
      </c>
      <c r="E5" s="7" t="str">
        <f>IFERROR(__xludf.DUMMYFUNCTION("IF(AND(F5 &gt; 0.3, F5 &lt; 0.5), SPARKLINE(F5,{""charttype"",""bar"";""color1"",""Gold"";""max"",1}),
IF(F5 = 1, SPARKLINE(F5,{""charttype"",""bar"";""color1"",""Lime"";""max"",1}),
IF(F5 &gt;= 0.5, SPARKLINE(F5,{""charttype"",""bar"";""color1"",""GreenYellow"";"&amp;"""max"",1}),
SPARKLINE(F5,{""charttype"",""bar"";""color1"",""DarkOrange"";""max"",1}))))"),"")</f>
        <v/>
      </c>
      <c r="F5" s="8">
        <f t="shared" si="1"/>
        <v>1</v>
      </c>
      <c r="G5" s="14" t="s">
        <v>468</v>
      </c>
      <c r="H5" s="5" t="s">
        <v>456</v>
      </c>
      <c r="I5" s="10">
        <v>45908.0</v>
      </c>
      <c r="J5" s="11" t="s">
        <v>33</v>
      </c>
      <c r="K5" s="5" t="s">
        <v>457</v>
      </c>
      <c r="L5" s="10">
        <v>45909.0</v>
      </c>
      <c r="M5" s="11" t="s">
        <v>33</v>
      </c>
      <c r="N5" s="5"/>
      <c r="O5" s="10"/>
      <c r="P5" s="11"/>
      <c r="Q5" s="5" t="s">
        <v>36</v>
      </c>
      <c r="R5" s="10">
        <v>46006.0</v>
      </c>
      <c r="S5" s="12" t="s">
        <v>33</v>
      </c>
      <c r="T5" s="5" t="s">
        <v>458</v>
      </c>
      <c r="U5" s="10"/>
      <c r="V5" s="11" t="s">
        <v>33</v>
      </c>
      <c r="W5" s="5" t="s">
        <v>51</v>
      </c>
      <c r="X5" s="10">
        <v>46006.0</v>
      </c>
      <c r="Y5" s="11" t="s">
        <v>33</v>
      </c>
      <c r="Z5" s="14" t="s">
        <v>469</v>
      </c>
      <c r="AA5" s="5" t="s">
        <v>41</v>
      </c>
      <c r="AB5" s="10">
        <v>46007.0</v>
      </c>
      <c r="AC5" s="11" t="s">
        <v>33</v>
      </c>
    </row>
    <row r="6" ht="22.5" customHeight="1">
      <c r="A6" s="5">
        <v>5.0</v>
      </c>
      <c r="B6" s="19">
        <v>1.0</v>
      </c>
      <c r="C6" s="5" t="s">
        <v>470</v>
      </c>
      <c r="D6" s="16" t="s">
        <v>60</v>
      </c>
      <c r="E6" s="7" t="str">
        <f>IFERROR(__xludf.DUMMYFUNCTION("IF(AND(F6 &gt; 0.3, F6 &lt; 0.5), SPARKLINE(F6,{""charttype"",""bar"";""color1"",""Gold"";""max"",1}),
IF(F6 = 1, SPARKLINE(F6,{""charttype"",""bar"";""color1"",""Lime"";""max"",1}),
IF(F6 &gt;= 0.5, SPARKLINE(F6,{""charttype"",""bar"";""color1"",""GreenYellow"";"&amp;"""max"",1}),
SPARKLINE(F6,{""charttype"",""bar"";""color1"",""DarkOrange"";""max"",1}))))"),"")</f>
        <v/>
      </c>
      <c r="F6" s="8">
        <f t="shared" si="1"/>
        <v>1</v>
      </c>
      <c r="G6" s="14" t="s">
        <v>471</v>
      </c>
      <c r="H6" s="5" t="s">
        <v>456</v>
      </c>
      <c r="I6" s="10">
        <v>45908.0</v>
      </c>
      <c r="J6" s="11" t="s">
        <v>33</v>
      </c>
      <c r="K6" s="5" t="s">
        <v>457</v>
      </c>
      <c r="L6" s="10">
        <v>45972.0</v>
      </c>
      <c r="M6" s="11" t="s">
        <v>33</v>
      </c>
      <c r="N6" s="5"/>
      <c r="O6" s="10"/>
      <c r="P6" s="11" t="s">
        <v>38</v>
      </c>
      <c r="Q6" s="5" t="s">
        <v>36</v>
      </c>
      <c r="R6" s="10">
        <v>45999.0</v>
      </c>
      <c r="S6" s="12" t="s">
        <v>33</v>
      </c>
      <c r="T6" s="5" t="s">
        <v>458</v>
      </c>
      <c r="U6" s="10"/>
      <c r="V6" s="11" t="s">
        <v>38</v>
      </c>
      <c r="W6" s="5" t="s">
        <v>51</v>
      </c>
      <c r="X6" s="10">
        <v>45999.0</v>
      </c>
      <c r="Y6" s="11" t="s">
        <v>33</v>
      </c>
      <c r="Z6" s="14" t="s">
        <v>472</v>
      </c>
      <c r="AA6" s="5" t="s">
        <v>41</v>
      </c>
      <c r="AB6" s="10">
        <v>46000.0</v>
      </c>
      <c r="AC6" s="11" t="s">
        <v>33</v>
      </c>
    </row>
    <row r="7" ht="22.5" customHeight="1">
      <c r="A7" s="5">
        <v>5.0</v>
      </c>
      <c r="B7" s="19">
        <v>1.0</v>
      </c>
      <c r="C7" s="5" t="s">
        <v>473</v>
      </c>
      <c r="D7" s="16" t="s">
        <v>64</v>
      </c>
      <c r="E7" s="7" t="str">
        <f>IFERROR(__xludf.DUMMYFUNCTION("IF(AND(F7 &gt; 0.3, F7 &lt; 0.5), SPARKLINE(F7,{""charttype"",""bar"";""color1"",""Gold"";""max"",1}),
IF(F7 = 1, SPARKLINE(F7,{""charttype"",""bar"";""color1"",""Lime"";""max"",1}),
IF(F7 &gt;= 0.5, SPARKLINE(F7,{""charttype"",""bar"";""color1"",""GreenYellow"";"&amp;"""max"",1}),
SPARKLINE(F7,{""charttype"",""bar"";""color1"",""DarkOrange"";""max"",1}))))"),"")</f>
        <v/>
      </c>
      <c r="F7" s="8">
        <f t="shared" si="1"/>
        <v>1</v>
      </c>
      <c r="G7" s="14" t="s">
        <v>474</v>
      </c>
      <c r="H7" s="5" t="s">
        <v>456</v>
      </c>
      <c r="I7" s="10">
        <v>45908.0</v>
      </c>
      <c r="J7" s="11" t="s">
        <v>33</v>
      </c>
      <c r="K7" s="5" t="s">
        <v>457</v>
      </c>
      <c r="L7" s="10">
        <v>45972.0</v>
      </c>
      <c r="M7" s="11" t="s">
        <v>33</v>
      </c>
      <c r="N7" s="5"/>
      <c r="O7" s="10"/>
      <c r="P7" s="11" t="s">
        <v>38</v>
      </c>
      <c r="Q7" s="5" t="s">
        <v>36</v>
      </c>
      <c r="R7" s="10">
        <v>46002.0</v>
      </c>
      <c r="S7" s="12" t="s">
        <v>33</v>
      </c>
      <c r="T7" s="5" t="s">
        <v>458</v>
      </c>
      <c r="U7" s="10"/>
      <c r="V7" s="11" t="s">
        <v>38</v>
      </c>
      <c r="W7" s="5" t="s">
        <v>51</v>
      </c>
      <c r="X7" s="10">
        <v>46002.0</v>
      </c>
      <c r="Y7" s="11" t="s">
        <v>33</v>
      </c>
      <c r="Z7" s="14" t="s">
        <v>475</v>
      </c>
      <c r="AA7" s="5" t="s">
        <v>41</v>
      </c>
      <c r="AB7" s="10">
        <v>46003.0</v>
      </c>
      <c r="AC7" s="11" t="s">
        <v>33</v>
      </c>
    </row>
    <row r="8" ht="22.5" customHeight="1">
      <c r="A8" s="5">
        <v>5.0</v>
      </c>
      <c r="B8" s="19">
        <v>1.0</v>
      </c>
      <c r="C8" s="5" t="s">
        <v>476</v>
      </c>
      <c r="D8" s="16" t="s">
        <v>169</v>
      </c>
      <c r="E8" s="7" t="str">
        <f>IFERROR(__xludf.DUMMYFUNCTION("IF(AND(F8 &gt; 0.3, F8 &lt; 0.5), SPARKLINE(F8,{""charttype"",""bar"";""color1"",""Gold"";""max"",1}),
IF(F8 = 1, SPARKLINE(F8,{""charttype"",""bar"";""color1"",""Lime"";""max"",1}),
IF(F8 &gt;= 0.5, SPARKLINE(F8,{""charttype"",""bar"";""color1"",""GreenYellow"";"&amp;"""max"",1}),
SPARKLINE(F8,{""charttype"",""bar"";""color1"",""DarkOrange"";""max"",1}))))"),"")</f>
        <v/>
      </c>
      <c r="F8" s="8">
        <f t="shared" si="1"/>
        <v>0.8</v>
      </c>
      <c r="G8" s="19"/>
      <c r="H8" s="5" t="s">
        <v>456</v>
      </c>
      <c r="I8" s="10">
        <v>45908.0</v>
      </c>
      <c r="J8" s="11" t="s">
        <v>33</v>
      </c>
      <c r="K8" s="5" t="s">
        <v>457</v>
      </c>
      <c r="L8" s="10">
        <v>45993.0</v>
      </c>
      <c r="M8" s="11" t="s">
        <v>38</v>
      </c>
      <c r="N8" s="5" t="s">
        <v>456</v>
      </c>
      <c r="O8" s="10">
        <v>45911.0</v>
      </c>
      <c r="P8" s="11" t="s">
        <v>33</v>
      </c>
      <c r="Q8" s="5" t="s">
        <v>36</v>
      </c>
      <c r="R8" s="10">
        <v>46013.0</v>
      </c>
      <c r="S8" s="12" t="s">
        <v>33</v>
      </c>
      <c r="T8" s="5" t="s">
        <v>458</v>
      </c>
      <c r="U8" s="10"/>
      <c r="V8" s="11" t="s">
        <v>38</v>
      </c>
      <c r="W8" s="5" t="s">
        <v>459</v>
      </c>
      <c r="X8" s="10">
        <v>46013.0</v>
      </c>
      <c r="Y8" s="11" t="s">
        <v>33</v>
      </c>
      <c r="Z8" s="31" t="s">
        <v>477</v>
      </c>
      <c r="AA8" s="5" t="s">
        <v>41</v>
      </c>
      <c r="AB8" s="23">
        <v>46014.0</v>
      </c>
      <c r="AC8" s="11" t="s">
        <v>33</v>
      </c>
    </row>
    <row r="9" ht="22.5" customHeight="1">
      <c r="A9" s="5">
        <v>5.0</v>
      </c>
      <c r="B9" s="19">
        <v>1.0</v>
      </c>
      <c r="C9" s="5" t="s">
        <v>478</v>
      </c>
      <c r="D9" s="16" t="s">
        <v>72</v>
      </c>
      <c r="E9" s="7" t="str">
        <f>IFERROR(__xludf.DUMMYFUNCTION("IF(AND(F9 &gt; 0.3, F9 &lt; 0.5), SPARKLINE(F9,{""charttype"",""bar"";""color1"",""Gold"";""max"",1}),
IF(F9 = 1, SPARKLINE(F9,{""charttype"",""bar"";""color1"",""Lime"";""max"",1}),
IF(F9 &gt;= 0.5, SPARKLINE(F9,{""charttype"",""bar"";""color1"",""GreenYellow"";"&amp;"""max"",1}),
SPARKLINE(F9,{""charttype"",""bar"";""color1"",""DarkOrange"";""max"",1}))))"),"")</f>
        <v/>
      </c>
      <c r="F9" s="8">
        <f t="shared" si="1"/>
        <v>1</v>
      </c>
      <c r="G9" s="14" t="s">
        <v>479</v>
      </c>
      <c r="H9" s="5" t="s">
        <v>456</v>
      </c>
      <c r="I9" s="10">
        <v>45908.0</v>
      </c>
      <c r="J9" s="11" t="s">
        <v>33</v>
      </c>
      <c r="K9" s="5" t="s">
        <v>457</v>
      </c>
      <c r="L9" s="10">
        <v>45993.0</v>
      </c>
      <c r="M9" s="11" t="s">
        <v>33</v>
      </c>
      <c r="N9" s="5"/>
      <c r="O9" s="10"/>
      <c r="P9" s="11" t="s">
        <v>38</v>
      </c>
      <c r="Q9" s="5" t="s">
        <v>36</v>
      </c>
      <c r="R9" s="10">
        <v>46000.0</v>
      </c>
      <c r="S9" s="12" t="s">
        <v>33</v>
      </c>
      <c r="T9" s="5" t="s">
        <v>458</v>
      </c>
      <c r="U9" s="10"/>
      <c r="V9" s="11" t="s">
        <v>38</v>
      </c>
      <c r="W9" s="5" t="s">
        <v>51</v>
      </c>
      <c r="X9" s="10">
        <v>46000.0</v>
      </c>
      <c r="Y9" s="11" t="s">
        <v>33</v>
      </c>
      <c r="Z9" s="14" t="s">
        <v>480</v>
      </c>
      <c r="AA9" s="5" t="s">
        <v>41</v>
      </c>
      <c r="AB9" s="10">
        <v>46000.0</v>
      </c>
      <c r="AC9" s="11" t="s">
        <v>33</v>
      </c>
    </row>
    <row r="10" ht="22.5" customHeight="1">
      <c r="A10" s="5">
        <v>5.0</v>
      </c>
      <c r="B10" s="19">
        <v>1.0</v>
      </c>
      <c r="C10" s="5" t="s">
        <v>481</v>
      </c>
      <c r="D10" s="16" t="s">
        <v>68</v>
      </c>
      <c r="E10" s="7" t="str">
        <f>IFERROR(__xludf.DUMMYFUNCTION("IF(AND(F10 &gt; 0.3, F10 &lt; 0.5), SPARKLINE(F10,{""charttype"",""bar"";""color1"",""Gold"";""max"",1}),
IF(F10 = 1, SPARKLINE(F10,{""charttype"",""bar"";""color1"",""Lime"";""max"",1}),
IF(F10 &gt;= 0.5, SPARKLINE(F10,{""charttype"",""bar"";""color1"",""GreenYel"&amp;"low"";""max"",1}),
SPARKLINE(F10,{""charttype"",""bar"";""color1"",""DarkOrange"";""max"",1}))))"),"")</f>
        <v/>
      </c>
      <c r="F10" s="8">
        <f t="shared" si="1"/>
        <v>1</v>
      </c>
      <c r="G10" s="14" t="s">
        <v>482</v>
      </c>
      <c r="H10" s="5" t="s">
        <v>456</v>
      </c>
      <c r="I10" s="10">
        <v>45908.0</v>
      </c>
      <c r="J10" s="11" t="s">
        <v>33</v>
      </c>
      <c r="K10" s="5" t="s">
        <v>457</v>
      </c>
      <c r="L10" s="10">
        <v>45993.0</v>
      </c>
      <c r="M10" s="11" t="s">
        <v>33</v>
      </c>
      <c r="N10" s="5"/>
      <c r="O10" s="10"/>
      <c r="P10" s="11" t="s">
        <v>38</v>
      </c>
      <c r="Q10" s="5" t="s">
        <v>36</v>
      </c>
      <c r="R10" s="10">
        <v>46013.0</v>
      </c>
      <c r="S10" s="12" t="s">
        <v>38</v>
      </c>
      <c r="T10" s="5" t="s">
        <v>458</v>
      </c>
      <c r="U10" s="10"/>
      <c r="V10" s="11" t="s">
        <v>33</v>
      </c>
      <c r="W10" s="5" t="s">
        <v>51</v>
      </c>
      <c r="X10" s="10">
        <v>46013.0</v>
      </c>
      <c r="Y10" s="11" t="s">
        <v>33</v>
      </c>
      <c r="Z10" s="14" t="s">
        <v>483</v>
      </c>
      <c r="AA10" s="5" t="s">
        <v>41</v>
      </c>
      <c r="AB10" s="10">
        <v>46014.0</v>
      </c>
      <c r="AC10" s="11" t="s">
        <v>33</v>
      </c>
    </row>
    <row r="11" ht="22.5" customHeight="1">
      <c r="A11" s="5">
        <v>5.0</v>
      </c>
      <c r="B11" s="19">
        <v>2.0</v>
      </c>
      <c r="C11" s="5" t="s">
        <v>484</v>
      </c>
      <c r="D11" s="16" t="s">
        <v>30</v>
      </c>
      <c r="E11" s="7" t="str">
        <f>IFERROR(__xludf.DUMMYFUNCTION("IF(AND(F11 &gt; 0.3, F11 &lt; 0.5), SPARKLINE(F11,{""charttype"",""bar"";""color1"",""Gold"";""max"",1}),
IF(F11 = 1, SPARKLINE(F11,{""charttype"",""bar"";""color1"",""Lime"";""max"",1}),
IF(F11 &gt;= 0.5, SPARKLINE(F11,{""charttype"",""bar"";""color1"",""GreenYel"&amp;"low"";""max"",1}),
SPARKLINE(F11,{""charttype"",""bar"";""color1"",""DarkOrange"";""max"",1}))))"),"")</f>
        <v/>
      </c>
      <c r="F11" s="8">
        <f t="shared" si="1"/>
        <v>1</v>
      </c>
      <c r="G11" s="14" t="s">
        <v>485</v>
      </c>
      <c r="H11" s="5" t="s">
        <v>456</v>
      </c>
      <c r="I11" s="10">
        <v>45911.0</v>
      </c>
      <c r="J11" s="11" t="s">
        <v>33</v>
      </c>
      <c r="K11" s="5" t="s">
        <v>457</v>
      </c>
      <c r="L11" s="10">
        <v>45993.0</v>
      </c>
      <c r="M11" s="11" t="s">
        <v>33</v>
      </c>
      <c r="N11" s="5" t="s">
        <v>456</v>
      </c>
      <c r="O11" s="10">
        <v>45916.0</v>
      </c>
      <c r="P11" s="11" t="s">
        <v>33</v>
      </c>
      <c r="Q11" s="5" t="s">
        <v>36</v>
      </c>
      <c r="R11" s="10">
        <v>46013.0</v>
      </c>
      <c r="S11" s="12"/>
      <c r="T11" s="5" t="s">
        <v>458</v>
      </c>
      <c r="U11" s="10"/>
      <c r="V11" s="11" t="s">
        <v>486</v>
      </c>
      <c r="W11" s="5" t="s">
        <v>459</v>
      </c>
      <c r="X11" s="10">
        <v>46013.0</v>
      </c>
      <c r="Y11" s="11" t="s">
        <v>33</v>
      </c>
      <c r="Z11" s="31" t="s">
        <v>487</v>
      </c>
      <c r="AA11" s="5" t="s">
        <v>41</v>
      </c>
      <c r="AB11" s="23">
        <v>46014.0</v>
      </c>
      <c r="AC11" s="11" t="s">
        <v>33</v>
      </c>
    </row>
    <row r="12" ht="22.5" customHeight="1">
      <c r="A12" s="5">
        <v>5.0</v>
      </c>
      <c r="B12" s="19">
        <v>2.0</v>
      </c>
      <c r="C12" s="5" t="s">
        <v>488</v>
      </c>
      <c r="D12" s="16" t="s">
        <v>30</v>
      </c>
      <c r="E12" s="7" t="str">
        <f>IFERROR(__xludf.DUMMYFUNCTION("IF(AND(F12 &gt; 0.3, F12 &lt; 0.5), SPARKLINE(F12,{""charttype"",""bar"";""color1"",""Gold"";""max"",1}),
IF(F12 = 1, SPARKLINE(F12,{""charttype"",""bar"";""color1"",""Lime"";""max"",1}),
IF(F12 &gt;= 0.5, SPARKLINE(F12,{""charttype"",""bar"";""color1"",""GreenYel"&amp;"low"";""max"",1}),
SPARKLINE(F12,{""charttype"",""bar"";""color1"",""DarkOrange"";""max"",1}))))"),"")</f>
        <v/>
      </c>
      <c r="F12" s="8">
        <f t="shared" si="1"/>
        <v>1</v>
      </c>
      <c r="G12" s="14" t="s">
        <v>489</v>
      </c>
      <c r="H12" s="5" t="s">
        <v>456</v>
      </c>
      <c r="I12" s="10">
        <v>45911.0</v>
      </c>
      <c r="J12" s="11" t="s">
        <v>33</v>
      </c>
      <c r="K12" s="5" t="s">
        <v>457</v>
      </c>
      <c r="L12" s="10">
        <v>45993.0</v>
      </c>
      <c r="M12" s="11" t="s">
        <v>33</v>
      </c>
      <c r="N12" s="5" t="s">
        <v>456</v>
      </c>
      <c r="O12" s="10">
        <v>45916.0</v>
      </c>
      <c r="P12" s="11" t="s">
        <v>33</v>
      </c>
      <c r="Q12" s="5" t="s">
        <v>36</v>
      </c>
      <c r="R12" s="10">
        <v>46013.0</v>
      </c>
      <c r="S12" s="12"/>
      <c r="T12" s="5" t="s">
        <v>458</v>
      </c>
      <c r="U12" s="10"/>
      <c r="V12" s="11" t="s">
        <v>486</v>
      </c>
      <c r="W12" s="5" t="s">
        <v>459</v>
      </c>
      <c r="X12" s="10">
        <v>46013.0</v>
      </c>
      <c r="Y12" s="11" t="s">
        <v>33</v>
      </c>
      <c r="Z12" s="31" t="s">
        <v>490</v>
      </c>
      <c r="AA12" s="5" t="s">
        <v>41</v>
      </c>
      <c r="AB12" s="23">
        <v>46014.0</v>
      </c>
      <c r="AC12" s="11" t="s">
        <v>33</v>
      </c>
    </row>
    <row r="13" ht="22.5" customHeight="1">
      <c r="A13" s="5">
        <v>5.0</v>
      </c>
      <c r="B13" s="19">
        <v>2.0</v>
      </c>
      <c r="C13" s="5" t="s">
        <v>491</v>
      </c>
      <c r="D13" s="16" t="s">
        <v>49</v>
      </c>
      <c r="E13" s="7" t="str">
        <f>IFERROR(__xludf.DUMMYFUNCTION("IF(AND(F13 &gt; 0.3, F13 &lt; 0.5), SPARKLINE(F13,{""charttype"",""bar"";""color1"",""Gold"";""max"",1}),
IF(F13 = 1, SPARKLINE(F13,{""charttype"",""bar"";""color1"",""Lime"";""max"",1}),
IF(F13 &gt;= 0.5, SPARKLINE(F13,{""charttype"",""bar"";""color1"",""GreenYel"&amp;"low"";""max"",1}),
SPARKLINE(F13,{""charttype"",""bar"";""color1"",""DarkOrange"";""max"",1}))))"),"")</f>
        <v/>
      </c>
      <c r="F13" s="8">
        <f t="shared" si="1"/>
        <v>1</v>
      </c>
      <c r="G13" s="14" t="s">
        <v>492</v>
      </c>
      <c r="H13" s="5" t="s">
        <v>456</v>
      </c>
      <c r="I13" s="10">
        <v>45911.0</v>
      </c>
      <c r="J13" s="11" t="s">
        <v>33</v>
      </c>
      <c r="K13" s="5" t="s">
        <v>457</v>
      </c>
      <c r="L13" s="10">
        <v>45993.0</v>
      </c>
      <c r="M13" s="11" t="s">
        <v>33</v>
      </c>
      <c r="N13" s="5"/>
      <c r="O13" s="10"/>
      <c r="P13" s="11" t="s">
        <v>38</v>
      </c>
      <c r="Q13" s="5" t="s">
        <v>36</v>
      </c>
      <c r="R13" s="10">
        <v>46006.0</v>
      </c>
      <c r="S13" s="37"/>
      <c r="T13" s="5" t="s">
        <v>458</v>
      </c>
      <c r="U13" s="10"/>
      <c r="V13" s="11" t="s">
        <v>33</v>
      </c>
      <c r="W13" s="5" t="s">
        <v>51</v>
      </c>
      <c r="X13" s="10">
        <v>46006.0</v>
      </c>
      <c r="Y13" s="11" t="s">
        <v>33</v>
      </c>
      <c r="Z13" s="14" t="s">
        <v>493</v>
      </c>
      <c r="AA13" s="5" t="s">
        <v>41</v>
      </c>
      <c r="AB13" s="10">
        <v>46007.0</v>
      </c>
      <c r="AC13" s="11" t="s">
        <v>33</v>
      </c>
    </row>
    <row r="14" ht="22.5" customHeight="1">
      <c r="A14" s="5">
        <v>5.0</v>
      </c>
      <c r="B14" s="19">
        <v>2.0</v>
      </c>
      <c r="C14" s="5" t="s">
        <v>494</v>
      </c>
      <c r="D14" s="16" t="s">
        <v>49</v>
      </c>
      <c r="E14" s="7" t="str">
        <f>IFERROR(__xludf.DUMMYFUNCTION("IF(AND(F14 &gt; 0.3, F14 &lt; 0.5), SPARKLINE(F14,{""charttype"",""bar"";""color1"",""Gold"";""max"",1}),
IF(F14 = 1, SPARKLINE(F14,{""charttype"",""bar"";""color1"",""Lime"";""max"",1}),
IF(F14 &gt;= 0.5, SPARKLINE(F14,{""charttype"",""bar"";""color1"",""GreenYel"&amp;"low"";""max"",1}),
SPARKLINE(F14,{""charttype"",""bar"";""color1"",""DarkOrange"";""max"",1}))))"),"")</f>
        <v/>
      </c>
      <c r="F14" s="8">
        <f t="shared" si="1"/>
        <v>1</v>
      </c>
      <c r="G14" s="14" t="s">
        <v>495</v>
      </c>
      <c r="H14" s="5" t="s">
        <v>456</v>
      </c>
      <c r="I14" s="10">
        <v>45911.0</v>
      </c>
      <c r="J14" s="11" t="s">
        <v>33</v>
      </c>
      <c r="K14" s="5" t="s">
        <v>457</v>
      </c>
      <c r="L14" s="10">
        <v>45993.0</v>
      </c>
      <c r="M14" s="11" t="s">
        <v>33</v>
      </c>
      <c r="N14" s="5"/>
      <c r="O14" s="10"/>
      <c r="P14" s="11" t="s">
        <v>38</v>
      </c>
      <c r="Q14" s="5" t="s">
        <v>36</v>
      </c>
      <c r="R14" s="10">
        <v>46007.0</v>
      </c>
      <c r="S14" s="37"/>
      <c r="T14" s="5" t="s">
        <v>458</v>
      </c>
      <c r="U14" s="10"/>
      <c r="V14" s="11" t="s">
        <v>33</v>
      </c>
      <c r="W14" s="5" t="s">
        <v>51</v>
      </c>
      <c r="X14" s="10">
        <v>46007.0</v>
      </c>
      <c r="Y14" s="11" t="s">
        <v>33</v>
      </c>
      <c r="Z14" s="14" t="s">
        <v>496</v>
      </c>
      <c r="AA14" s="5" t="s">
        <v>41</v>
      </c>
      <c r="AB14" s="10">
        <v>46007.0</v>
      </c>
      <c r="AC14" s="11" t="s">
        <v>33</v>
      </c>
    </row>
    <row r="15" ht="22.5" customHeight="1">
      <c r="A15" s="5">
        <v>5.0</v>
      </c>
      <c r="B15" s="19">
        <v>2.0</v>
      </c>
      <c r="C15" s="5" t="s">
        <v>497</v>
      </c>
      <c r="D15" s="16" t="s">
        <v>60</v>
      </c>
      <c r="E15" s="7" t="str">
        <f>IFERROR(__xludf.DUMMYFUNCTION("IF(AND(F15 &gt; 0.3, F15 &lt; 0.5), SPARKLINE(F15,{""charttype"",""bar"";""color1"",""Gold"";""max"",1}),
IF(F15 = 1, SPARKLINE(F15,{""charttype"",""bar"";""color1"",""Lime"";""max"",1}),
IF(F15 &gt;= 0.5, SPARKLINE(F15,{""charttype"",""bar"";""color1"",""GreenYel"&amp;"low"";""max"",1}),
SPARKLINE(F15,{""charttype"",""bar"";""color1"",""DarkOrange"";""max"",1}))))"),"")</f>
        <v/>
      </c>
      <c r="F15" s="8">
        <f t="shared" si="1"/>
        <v>1</v>
      </c>
      <c r="G15" s="14" t="s">
        <v>498</v>
      </c>
      <c r="H15" s="5" t="s">
        <v>456</v>
      </c>
      <c r="I15" s="10">
        <v>45911.0</v>
      </c>
      <c r="J15" s="11" t="s">
        <v>33</v>
      </c>
      <c r="K15" s="5" t="s">
        <v>457</v>
      </c>
      <c r="L15" s="10">
        <v>45993.0</v>
      </c>
      <c r="M15" s="11" t="s">
        <v>33</v>
      </c>
      <c r="N15" s="5"/>
      <c r="O15" s="10"/>
      <c r="P15" s="11" t="s">
        <v>38</v>
      </c>
      <c r="Q15" s="5" t="s">
        <v>36</v>
      </c>
      <c r="R15" s="10">
        <v>45999.0</v>
      </c>
      <c r="S15" s="37"/>
      <c r="T15" s="5" t="s">
        <v>458</v>
      </c>
      <c r="U15" s="10"/>
      <c r="V15" s="11" t="s">
        <v>486</v>
      </c>
      <c r="W15" s="5" t="s">
        <v>51</v>
      </c>
      <c r="X15" s="10">
        <v>45999.0</v>
      </c>
      <c r="Y15" s="11" t="s">
        <v>33</v>
      </c>
      <c r="Z15" s="14" t="s">
        <v>499</v>
      </c>
      <c r="AA15" s="5" t="s">
        <v>41</v>
      </c>
      <c r="AB15" s="10">
        <v>46000.0</v>
      </c>
      <c r="AC15" s="11" t="s">
        <v>33</v>
      </c>
    </row>
    <row r="16" ht="22.5" customHeight="1">
      <c r="A16" s="5">
        <v>5.0</v>
      </c>
      <c r="B16" s="19">
        <v>2.0</v>
      </c>
      <c r="C16" s="5" t="s">
        <v>500</v>
      </c>
      <c r="D16" s="16" t="s">
        <v>64</v>
      </c>
      <c r="E16" s="7" t="str">
        <f>IFERROR(__xludf.DUMMYFUNCTION("IF(AND(F16 &gt; 0.3, F16 &lt; 0.5), SPARKLINE(F16,{""charttype"",""bar"";""color1"",""Gold"";""max"",1}),
IF(F16 = 1, SPARKLINE(F16,{""charttype"",""bar"";""color1"",""Lime"";""max"",1}),
IF(F16 &gt;= 0.5, SPARKLINE(F16,{""charttype"",""bar"";""color1"",""GreenYel"&amp;"low"";""max"",1}),
SPARKLINE(F16,{""charttype"",""bar"";""color1"",""DarkOrange"";""max"",1}))))"),"")</f>
        <v/>
      </c>
      <c r="F16" s="8">
        <f t="shared" si="1"/>
        <v>1</v>
      </c>
      <c r="G16" s="14" t="s">
        <v>501</v>
      </c>
      <c r="H16" s="5" t="s">
        <v>456</v>
      </c>
      <c r="I16" s="10">
        <v>45911.0</v>
      </c>
      <c r="J16" s="11" t="s">
        <v>33</v>
      </c>
      <c r="K16" s="5" t="s">
        <v>457</v>
      </c>
      <c r="L16" s="10">
        <v>45993.0</v>
      </c>
      <c r="M16" s="11" t="s">
        <v>33</v>
      </c>
      <c r="N16" s="5"/>
      <c r="O16" s="10"/>
      <c r="P16" s="11" t="s">
        <v>38</v>
      </c>
      <c r="Q16" s="5" t="s">
        <v>36</v>
      </c>
      <c r="R16" s="10">
        <v>46002.0</v>
      </c>
      <c r="S16" s="37"/>
      <c r="T16" s="5" t="s">
        <v>458</v>
      </c>
      <c r="U16" s="10"/>
      <c r="V16" s="11" t="s">
        <v>486</v>
      </c>
      <c r="W16" s="5" t="s">
        <v>51</v>
      </c>
      <c r="X16" s="10">
        <v>46002.0</v>
      </c>
      <c r="Y16" s="11" t="s">
        <v>33</v>
      </c>
      <c r="Z16" s="14" t="s">
        <v>502</v>
      </c>
      <c r="AA16" s="5" t="s">
        <v>41</v>
      </c>
      <c r="AB16" s="10">
        <v>46003.0</v>
      </c>
      <c r="AC16" s="11" t="s">
        <v>33</v>
      </c>
    </row>
    <row r="17" ht="22.5" customHeight="1">
      <c r="A17" s="5">
        <v>5.0</v>
      </c>
      <c r="B17" s="19">
        <v>2.0</v>
      </c>
      <c r="C17" s="5" t="s">
        <v>503</v>
      </c>
      <c r="D17" s="16" t="s">
        <v>169</v>
      </c>
      <c r="E17" s="7" t="str">
        <f>IFERROR(__xludf.DUMMYFUNCTION("IF(AND(F17 &gt; 0.3, F17 &lt; 0.5), SPARKLINE(F17,{""charttype"",""bar"";""color1"",""Gold"";""max"",1}),
IF(F17 = 1, SPARKLINE(F17,{""charttype"",""bar"";""color1"",""Lime"";""max"",1}),
IF(F17 &gt;= 0.5, SPARKLINE(F17,{""charttype"",""bar"";""color1"",""GreenYel"&amp;"low"";""max"",1}),
SPARKLINE(F17,{""charttype"",""bar"";""color1"",""DarkOrange"";""max"",1}))))"),"")</f>
        <v/>
      </c>
      <c r="F17" s="8">
        <f t="shared" si="1"/>
        <v>0.8</v>
      </c>
      <c r="G17" s="19"/>
      <c r="H17" s="5" t="s">
        <v>456</v>
      </c>
      <c r="I17" s="10">
        <v>45911.0</v>
      </c>
      <c r="J17" s="11" t="s">
        <v>33</v>
      </c>
      <c r="K17" s="5" t="s">
        <v>457</v>
      </c>
      <c r="L17" s="10">
        <v>45993.0</v>
      </c>
      <c r="M17" s="11" t="s">
        <v>38</v>
      </c>
      <c r="N17" s="5" t="s">
        <v>456</v>
      </c>
      <c r="O17" s="10">
        <v>45916.0</v>
      </c>
      <c r="P17" s="11" t="s">
        <v>33</v>
      </c>
      <c r="Q17" s="5" t="s">
        <v>36</v>
      </c>
      <c r="R17" s="10">
        <v>46013.0</v>
      </c>
      <c r="S17" s="12"/>
      <c r="T17" s="5" t="s">
        <v>458</v>
      </c>
      <c r="U17" s="10"/>
      <c r="V17" s="11" t="s">
        <v>486</v>
      </c>
      <c r="W17" s="5" t="s">
        <v>459</v>
      </c>
      <c r="X17" s="10">
        <v>46013.0</v>
      </c>
      <c r="Y17" s="11" t="s">
        <v>33</v>
      </c>
      <c r="Z17" s="31" t="s">
        <v>504</v>
      </c>
      <c r="AA17" s="5" t="s">
        <v>41</v>
      </c>
      <c r="AB17" s="23">
        <v>46014.0</v>
      </c>
      <c r="AC17" s="11" t="s">
        <v>33</v>
      </c>
    </row>
    <row r="18" ht="22.5" customHeight="1">
      <c r="A18" s="5">
        <v>5.0</v>
      </c>
      <c r="B18" s="19">
        <v>2.0</v>
      </c>
      <c r="C18" s="5" t="s">
        <v>505</v>
      </c>
      <c r="D18" s="16" t="s">
        <v>72</v>
      </c>
      <c r="E18" s="7" t="str">
        <f>IFERROR(__xludf.DUMMYFUNCTION("IF(AND(F18 &gt; 0.3, F18 &lt; 0.5), SPARKLINE(F18,{""charttype"",""bar"";""color1"",""Gold"";""max"",1}),
IF(F18 = 1, SPARKLINE(F18,{""charttype"",""bar"";""color1"",""Lime"";""max"",1}),
IF(F18 &gt;= 0.5, SPARKLINE(F18,{""charttype"",""bar"";""color1"",""GreenYel"&amp;"low"";""max"",1}),
SPARKLINE(F18,{""charttype"",""bar"";""color1"",""DarkOrange"";""max"",1}))))"),"")</f>
        <v/>
      </c>
      <c r="F18" s="8">
        <f t="shared" si="1"/>
        <v>1</v>
      </c>
      <c r="G18" s="17" t="s">
        <v>506</v>
      </c>
      <c r="H18" s="5" t="s">
        <v>456</v>
      </c>
      <c r="I18" s="10">
        <v>45911.0</v>
      </c>
      <c r="J18" s="11" t="s">
        <v>33</v>
      </c>
      <c r="K18" s="5" t="s">
        <v>457</v>
      </c>
      <c r="L18" s="10">
        <v>45993.0</v>
      </c>
      <c r="M18" s="11" t="s">
        <v>33</v>
      </c>
      <c r="N18" s="5"/>
      <c r="O18" s="10"/>
      <c r="P18" s="11" t="s">
        <v>38</v>
      </c>
      <c r="Q18" s="5" t="s">
        <v>36</v>
      </c>
      <c r="R18" s="10">
        <v>46000.0</v>
      </c>
      <c r="S18" s="37"/>
      <c r="T18" s="5" t="s">
        <v>458</v>
      </c>
      <c r="U18" s="10"/>
      <c r="V18" s="11" t="s">
        <v>486</v>
      </c>
      <c r="W18" s="5" t="s">
        <v>51</v>
      </c>
      <c r="X18" s="10">
        <v>46000.0</v>
      </c>
      <c r="Y18" s="11" t="s">
        <v>33</v>
      </c>
      <c r="Z18" s="14" t="s">
        <v>507</v>
      </c>
      <c r="AA18" s="5" t="s">
        <v>41</v>
      </c>
      <c r="AB18" s="10">
        <v>46000.0</v>
      </c>
      <c r="AC18" s="11" t="s">
        <v>33</v>
      </c>
    </row>
    <row r="19" ht="22.5" customHeight="1">
      <c r="A19" s="5">
        <v>5.0</v>
      </c>
      <c r="B19" s="19">
        <v>2.0</v>
      </c>
      <c r="C19" s="5" t="s">
        <v>508</v>
      </c>
      <c r="D19" s="16" t="s">
        <v>68</v>
      </c>
      <c r="E19" s="7" t="str">
        <f>IFERROR(__xludf.DUMMYFUNCTION("IF(AND(F19 &gt; 0.3, F19 &lt; 0.5), SPARKLINE(F19,{""charttype"",""bar"";""color1"",""Gold"";""max"",1}),
IF(F19 = 1, SPARKLINE(F19,{""charttype"",""bar"";""color1"",""Lime"";""max"",1}),
IF(F19 &gt;= 0.5, SPARKLINE(F19,{""charttype"",""bar"";""color1"",""GreenYel"&amp;"low"";""max"",1}),
SPARKLINE(F19,{""charttype"",""bar"";""color1"",""DarkOrange"";""max"",1}))))"),"")</f>
        <v/>
      </c>
      <c r="F19" s="8">
        <f t="shared" si="1"/>
        <v>1</v>
      </c>
      <c r="G19" s="14" t="s">
        <v>509</v>
      </c>
      <c r="H19" s="5" t="s">
        <v>456</v>
      </c>
      <c r="I19" s="10">
        <v>45911.0</v>
      </c>
      <c r="J19" s="11" t="s">
        <v>33</v>
      </c>
      <c r="K19" s="5" t="s">
        <v>457</v>
      </c>
      <c r="L19" s="10">
        <v>45993.0</v>
      </c>
      <c r="M19" s="11" t="s">
        <v>33</v>
      </c>
      <c r="N19" s="5"/>
      <c r="O19" s="10"/>
      <c r="P19" s="11" t="s">
        <v>38</v>
      </c>
      <c r="Q19" s="5" t="s">
        <v>36</v>
      </c>
      <c r="R19" s="23">
        <v>46029.0</v>
      </c>
      <c r="S19" s="37"/>
      <c r="T19" s="5" t="s">
        <v>458</v>
      </c>
      <c r="U19" s="10"/>
      <c r="V19" s="11" t="s">
        <v>33</v>
      </c>
      <c r="W19" s="5" t="s">
        <v>51</v>
      </c>
      <c r="X19" s="23">
        <v>46029.0</v>
      </c>
      <c r="Y19" s="11" t="s">
        <v>33</v>
      </c>
      <c r="Z19" s="14" t="s">
        <v>510</v>
      </c>
      <c r="AA19" s="5" t="s">
        <v>41</v>
      </c>
      <c r="AB19" s="23">
        <v>46030.0</v>
      </c>
      <c r="AC19" s="11" t="s">
        <v>33</v>
      </c>
    </row>
    <row r="20" ht="22.5" customHeight="1">
      <c r="A20" s="5">
        <v>5.0</v>
      </c>
      <c r="B20" s="19">
        <v>3.0</v>
      </c>
      <c r="C20" s="5" t="s">
        <v>511</v>
      </c>
      <c r="D20" s="16" t="s">
        <v>30</v>
      </c>
      <c r="E20" s="7" t="str">
        <f>IFERROR(__xludf.DUMMYFUNCTION("IF(AND(F20 &gt; 0.3, F20 &lt; 0.5), SPARKLINE(F20,{""charttype"",""bar"";""color1"",""Gold"";""max"",1}),
IF(F20 = 1, SPARKLINE(F20,{""charttype"",""bar"";""color1"",""Lime"";""max"",1}),
IF(F20 &gt;= 0.5, SPARKLINE(F20,{""charttype"",""bar"";""color1"",""GreenYel"&amp;"low"";""max"",1}),
SPARKLINE(F20,{""charttype"",""bar"";""color1"",""DarkOrange"";""max"",1}))))"),"")</f>
        <v/>
      </c>
      <c r="F20" s="8">
        <f t="shared" si="1"/>
        <v>1</v>
      </c>
      <c r="G20" s="14" t="s">
        <v>512</v>
      </c>
      <c r="H20" s="5" t="s">
        <v>456</v>
      </c>
      <c r="I20" s="10">
        <v>45916.0</v>
      </c>
      <c r="J20" s="11" t="s">
        <v>33</v>
      </c>
      <c r="K20" s="5" t="s">
        <v>457</v>
      </c>
      <c r="L20" s="10">
        <v>45995.0</v>
      </c>
      <c r="M20" s="11" t="s">
        <v>33</v>
      </c>
      <c r="N20" s="5" t="s">
        <v>456</v>
      </c>
      <c r="O20" s="10">
        <v>45919.0</v>
      </c>
      <c r="P20" s="11" t="s">
        <v>33</v>
      </c>
      <c r="Q20" s="5" t="s">
        <v>36</v>
      </c>
      <c r="R20" s="10">
        <v>46013.0</v>
      </c>
      <c r="S20" s="12"/>
      <c r="T20" s="5" t="s">
        <v>458</v>
      </c>
      <c r="U20" s="10"/>
      <c r="V20" s="11" t="s">
        <v>486</v>
      </c>
      <c r="W20" s="5" t="s">
        <v>459</v>
      </c>
      <c r="X20" s="10">
        <v>46013.0</v>
      </c>
      <c r="Y20" s="11" t="s">
        <v>33</v>
      </c>
      <c r="Z20" s="31" t="s">
        <v>513</v>
      </c>
      <c r="AA20" s="5" t="s">
        <v>41</v>
      </c>
      <c r="AB20" s="23">
        <v>46014.0</v>
      </c>
      <c r="AC20" s="11" t="s">
        <v>33</v>
      </c>
    </row>
    <row r="21" ht="22.5" customHeight="1">
      <c r="A21" s="5">
        <v>5.0</v>
      </c>
      <c r="B21" s="19">
        <v>3.0</v>
      </c>
      <c r="C21" s="5" t="s">
        <v>514</v>
      </c>
      <c r="D21" s="16" t="s">
        <v>49</v>
      </c>
      <c r="E21" s="7" t="str">
        <f>IFERROR(__xludf.DUMMYFUNCTION("IF(AND(F21 &gt; 0.3, F21 &lt; 0.5), SPARKLINE(F21,{""charttype"",""bar"";""color1"",""Gold"";""max"",1}),
IF(F21 = 1, SPARKLINE(F21,{""charttype"",""bar"";""color1"",""Lime"";""max"",1}),
IF(F21 &gt;= 0.5, SPARKLINE(F21,{""charttype"",""bar"";""color1"",""GreenYel"&amp;"low"";""max"",1}),
SPARKLINE(F21,{""charttype"",""bar"";""color1"",""DarkOrange"";""max"",1}))))"),"")</f>
        <v/>
      </c>
      <c r="F21" s="8">
        <f t="shared" si="1"/>
        <v>1</v>
      </c>
      <c r="G21" s="14" t="s">
        <v>515</v>
      </c>
      <c r="H21" s="5" t="s">
        <v>456</v>
      </c>
      <c r="I21" s="10">
        <v>45916.0</v>
      </c>
      <c r="J21" s="11" t="s">
        <v>33</v>
      </c>
      <c r="K21" s="5" t="s">
        <v>457</v>
      </c>
      <c r="L21" s="10">
        <v>45995.0</v>
      </c>
      <c r="M21" s="11" t="s">
        <v>33</v>
      </c>
      <c r="N21" s="5"/>
      <c r="O21" s="10"/>
      <c r="P21" s="11" t="s">
        <v>38</v>
      </c>
      <c r="Q21" s="5" t="s">
        <v>36</v>
      </c>
      <c r="R21" s="10">
        <v>46008.0</v>
      </c>
      <c r="S21" s="37"/>
      <c r="T21" s="5" t="s">
        <v>458</v>
      </c>
      <c r="U21" s="10"/>
      <c r="V21" s="11" t="s">
        <v>33</v>
      </c>
      <c r="W21" s="5" t="s">
        <v>51</v>
      </c>
      <c r="X21" s="10">
        <v>46008.0</v>
      </c>
      <c r="Y21" s="11" t="s">
        <v>33</v>
      </c>
      <c r="Z21" s="14" t="s">
        <v>516</v>
      </c>
      <c r="AA21" s="5" t="s">
        <v>41</v>
      </c>
      <c r="AB21" s="10">
        <v>46009.0</v>
      </c>
      <c r="AC21" s="11" t="s">
        <v>33</v>
      </c>
    </row>
    <row r="22" ht="22.5" customHeight="1">
      <c r="A22" s="5">
        <v>5.0</v>
      </c>
      <c r="B22" s="19">
        <v>3.0</v>
      </c>
      <c r="C22" s="5" t="s">
        <v>517</v>
      </c>
      <c r="D22" s="16" t="s">
        <v>60</v>
      </c>
      <c r="E22" s="7" t="str">
        <f>IFERROR(__xludf.DUMMYFUNCTION("IF(AND(F22 &gt; 0.3, F22 &lt; 0.5), SPARKLINE(F22,{""charttype"",""bar"";""color1"",""Gold"";""max"",1}),
IF(F22 = 1, SPARKLINE(F22,{""charttype"",""bar"";""color1"",""Lime"";""max"",1}),
IF(F22 &gt;= 0.5, SPARKLINE(F22,{""charttype"",""bar"";""color1"",""GreenYel"&amp;"low"";""max"",1}),
SPARKLINE(F22,{""charttype"",""bar"";""color1"",""DarkOrange"";""max"",1}))))"),"")</f>
        <v/>
      </c>
      <c r="F22" s="8">
        <f t="shared" si="1"/>
        <v>1</v>
      </c>
      <c r="G22" s="14" t="s">
        <v>518</v>
      </c>
      <c r="H22" s="5" t="s">
        <v>456</v>
      </c>
      <c r="I22" s="10">
        <v>45916.0</v>
      </c>
      <c r="J22" s="11" t="s">
        <v>33</v>
      </c>
      <c r="K22" s="5" t="s">
        <v>457</v>
      </c>
      <c r="L22" s="10">
        <v>45995.0</v>
      </c>
      <c r="M22" s="11" t="s">
        <v>33</v>
      </c>
      <c r="N22" s="5"/>
      <c r="O22" s="10"/>
      <c r="P22" s="11" t="s">
        <v>38</v>
      </c>
      <c r="Q22" s="5" t="s">
        <v>36</v>
      </c>
      <c r="R22" s="10">
        <v>45999.0</v>
      </c>
      <c r="S22" s="37"/>
      <c r="T22" s="5" t="s">
        <v>458</v>
      </c>
      <c r="U22" s="10"/>
      <c r="V22" s="11" t="s">
        <v>486</v>
      </c>
      <c r="W22" s="5" t="s">
        <v>51</v>
      </c>
      <c r="X22" s="10">
        <v>45999.0</v>
      </c>
      <c r="Y22" s="11" t="s">
        <v>33</v>
      </c>
      <c r="Z22" s="14" t="s">
        <v>519</v>
      </c>
      <c r="AA22" s="5" t="s">
        <v>41</v>
      </c>
      <c r="AB22" s="10">
        <v>46000.0</v>
      </c>
      <c r="AC22" s="11" t="s">
        <v>33</v>
      </c>
    </row>
    <row r="23" ht="22.5" customHeight="1">
      <c r="A23" s="5">
        <v>5.0</v>
      </c>
      <c r="B23" s="19">
        <v>3.0</v>
      </c>
      <c r="C23" s="5" t="s">
        <v>520</v>
      </c>
      <c r="D23" s="16" t="s">
        <v>64</v>
      </c>
      <c r="E23" s="7" t="str">
        <f>IFERROR(__xludf.DUMMYFUNCTION("IF(AND(F23 &gt; 0.3, F23 &lt; 0.5), SPARKLINE(F23,{""charttype"",""bar"";""color1"",""Gold"";""max"",1}),
IF(F23 = 1, SPARKLINE(F23,{""charttype"",""bar"";""color1"",""Lime"";""max"",1}),
IF(F23 &gt;= 0.5, SPARKLINE(F23,{""charttype"",""bar"";""color1"",""GreenYel"&amp;"low"";""max"",1}),
SPARKLINE(F23,{""charttype"",""bar"";""color1"",""DarkOrange"";""max"",1}))))"),"")</f>
        <v/>
      </c>
      <c r="F23" s="8">
        <f t="shared" si="1"/>
        <v>1</v>
      </c>
      <c r="G23" s="14" t="s">
        <v>521</v>
      </c>
      <c r="H23" s="5" t="s">
        <v>456</v>
      </c>
      <c r="I23" s="10">
        <v>45916.0</v>
      </c>
      <c r="J23" s="11" t="s">
        <v>33</v>
      </c>
      <c r="K23" s="5" t="s">
        <v>457</v>
      </c>
      <c r="L23" s="10">
        <v>45995.0</v>
      </c>
      <c r="M23" s="11" t="s">
        <v>33</v>
      </c>
      <c r="N23" s="5"/>
      <c r="O23" s="10"/>
      <c r="P23" s="11" t="s">
        <v>38</v>
      </c>
      <c r="Q23" s="5" t="s">
        <v>36</v>
      </c>
      <c r="R23" s="10">
        <v>46003.0</v>
      </c>
      <c r="S23" s="37"/>
      <c r="T23" s="5" t="s">
        <v>458</v>
      </c>
      <c r="U23" s="10"/>
      <c r="V23" s="11" t="s">
        <v>486</v>
      </c>
      <c r="W23" s="5" t="s">
        <v>51</v>
      </c>
      <c r="X23" s="10">
        <v>46003.0</v>
      </c>
      <c r="Y23" s="11" t="s">
        <v>33</v>
      </c>
      <c r="Z23" s="14" t="s">
        <v>522</v>
      </c>
      <c r="AA23" s="5" t="s">
        <v>41</v>
      </c>
      <c r="AB23" s="10">
        <v>46006.0</v>
      </c>
      <c r="AC23" s="11" t="s">
        <v>33</v>
      </c>
    </row>
    <row r="24" ht="22.5" customHeight="1">
      <c r="A24" s="5">
        <v>5.0</v>
      </c>
      <c r="B24" s="19">
        <v>3.0</v>
      </c>
      <c r="C24" s="5" t="s">
        <v>523</v>
      </c>
      <c r="D24" s="16" t="s">
        <v>169</v>
      </c>
      <c r="E24" s="7" t="str">
        <f>IFERROR(__xludf.DUMMYFUNCTION("IF(AND(F24 &gt; 0.3, F24 &lt; 0.5), SPARKLINE(F24,{""charttype"",""bar"";""color1"",""Gold"";""max"",1}),
IF(F24 = 1, SPARKLINE(F24,{""charttype"",""bar"";""color1"",""Lime"";""max"",1}),
IF(F24 &gt;= 0.5, SPARKLINE(F24,{""charttype"",""bar"";""color1"",""GreenYel"&amp;"low"";""max"",1}),
SPARKLINE(F24,{""charttype"",""bar"";""color1"",""DarkOrange"";""max"",1}))))"),"")</f>
        <v/>
      </c>
      <c r="F24" s="8">
        <f t="shared" si="1"/>
        <v>1</v>
      </c>
      <c r="H24" s="5" t="s">
        <v>456</v>
      </c>
      <c r="I24" s="10">
        <v>45916.0</v>
      </c>
      <c r="J24" s="11" t="s">
        <v>33</v>
      </c>
      <c r="K24" s="5" t="s">
        <v>457</v>
      </c>
      <c r="L24" s="10">
        <v>45995.0</v>
      </c>
      <c r="M24" s="11" t="s">
        <v>33</v>
      </c>
      <c r="N24" s="5" t="s">
        <v>456</v>
      </c>
      <c r="O24" s="10">
        <v>45919.0</v>
      </c>
      <c r="P24" s="11" t="s">
        <v>33</v>
      </c>
      <c r="Q24" s="5" t="s">
        <v>36</v>
      </c>
      <c r="R24" s="10">
        <v>46013.0</v>
      </c>
      <c r="S24" s="12"/>
      <c r="T24" s="5" t="s">
        <v>458</v>
      </c>
      <c r="U24" s="10"/>
      <c r="V24" s="11" t="s">
        <v>486</v>
      </c>
      <c r="W24" s="5" t="s">
        <v>459</v>
      </c>
      <c r="X24" s="10">
        <v>46013.0</v>
      </c>
      <c r="Y24" s="11" t="s">
        <v>33</v>
      </c>
      <c r="Z24" s="31" t="s">
        <v>524</v>
      </c>
      <c r="AA24" s="5" t="s">
        <v>41</v>
      </c>
      <c r="AB24" s="23">
        <v>46014.0</v>
      </c>
      <c r="AC24" s="11" t="s">
        <v>33</v>
      </c>
    </row>
    <row r="25" ht="22.5" customHeight="1">
      <c r="A25" s="5">
        <v>5.0</v>
      </c>
      <c r="B25" s="19">
        <v>3.0</v>
      </c>
      <c r="C25" s="5" t="s">
        <v>525</v>
      </c>
      <c r="D25" s="16" t="s">
        <v>72</v>
      </c>
      <c r="E25" s="7" t="str">
        <f>IFERROR(__xludf.DUMMYFUNCTION("IF(AND(F25 &gt; 0.3, F25 &lt; 0.5), SPARKLINE(F25,{""charttype"",""bar"";""color1"",""Gold"";""max"",1}),
IF(F25 = 1, SPARKLINE(F25,{""charttype"",""bar"";""color1"",""Lime"";""max"",1}),
IF(F25 &gt;= 0.5, SPARKLINE(F25,{""charttype"",""bar"";""color1"",""GreenYel"&amp;"low"";""max"",1}),
SPARKLINE(F25,{""charttype"",""bar"";""color1"",""DarkOrange"";""max"",1}))))"),"")</f>
        <v/>
      </c>
      <c r="F25" s="8">
        <f t="shared" si="1"/>
        <v>1</v>
      </c>
      <c r="G25" s="14" t="s">
        <v>526</v>
      </c>
      <c r="H25" s="5" t="s">
        <v>456</v>
      </c>
      <c r="I25" s="10">
        <v>45916.0</v>
      </c>
      <c r="J25" s="11" t="s">
        <v>33</v>
      </c>
      <c r="K25" s="5" t="s">
        <v>457</v>
      </c>
      <c r="L25" s="10">
        <v>45995.0</v>
      </c>
      <c r="M25" s="11" t="s">
        <v>33</v>
      </c>
      <c r="N25" s="5"/>
      <c r="O25" s="10"/>
      <c r="P25" s="11" t="s">
        <v>38</v>
      </c>
      <c r="Q25" s="5" t="s">
        <v>36</v>
      </c>
      <c r="R25" s="10">
        <v>46000.0</v>
      </c>
      <c r="S25" s="37"/>
      <c r="T25" s="5" t="s">
        <v>458</v>
      </c>
      <c r="U25" s="10"/>
      <c r="V25" s="11" t="s">
        <v>486</v>
      </c>
      <c r="W25" s="5" t="s">
        <v>51</v>
      </c>
      <c r="X25" s="10">
        <v>46000.0</v>
      </c>
      <c r="Y25" s="11" t="s">
        <v>33</v>
      </c>
      <c r="Z25" s="14" t="s">
        <v>527</v>
      </c>
      <c r="AA25" s="5" t="s">
        <v>41</v>
      </c>
      <c r="AB25" s="10">
        <v>46001.0</v>
      </c>
      <c r="AC25" s="11" t="s">
        <v>33</v>
      </c>
    </row>
    <row r="26" ht="22.5" customHeight="1">
      <c r="A26" s="5">
        <v>5.0</v>
      </c>
      <c r="B26" s="19">
        <v>3.0</v>
      </c>
      <c r="C26" s="5" t="s">
        <v>528</v>
      </c>
      <c r="D26" s="16" t="s">
        <v>68</v>
      </c>
      <c r="E26" s="7" t="str">
        <f>IFERROR(__xludf.DUMMYFUNCTION("IF(AND(F26 &gt; 0.3, F26 &lt; 0.5), SPARKLINE(F26,{""charttype"",""bar"";""color1"",""Gold"";""max"",1}),
IF(F26 = 1, SPARKLINE(F26,{""charttype"",""bar"";""color1"",""Lime"";""max"",1}),
IF(F26 &gt;= 0.5, SPARKLINE(F26,{""charttype"",""bar"";""color1"",""GreenYel"&amp;"low"";""max"",1}),
SPARKLINE(F26,{""charttype"",""bar"";""color1"",""DarkOrange"";""max"",1}))))"),"")</f>
        <v/>
      </c>
      <c r="F26" s="8">
        <f t="shared" si="1"/>
        <v>1</v>
      </c>
      <c r="G26" s="14" t="s">
        <v>529</v>
      </c>
      <c r="H26" s="5" t="s">
        <v>456</v>
      </c>
      <c r="I26" s="10">
        <v>45916.0</v>
      </c>
      <c r="J26" s="11" t="s">
        <v>33</v>
      </c>
      <c r="K26" s="5" t="s">
        <v>457</v>
      </c>
      <c r="L26" s="10">
        <v>45995.0</v>
      </c>
      <c r="M26" s="11" t="s">
        <v>33</v>
      </c>
      <c r="N26" s="5"/>
      <c r="O26" s="10"/>
      <c r="P26" s="11" t="s">
        <v>38</v>
      </c>
      <c r="Q26" s="5" t="s">
        <v>36</v>
      </c>
      <c r="R26" s="23">
        <v>46034.0</v>
      </c>
      <c r="S26" s="37"/>
      <c r="T26" s="5" t="s">
        <v>458</v>
      </c>
      <c r="U26" s="10"/>
      <c r="V26" s="11" t="s">
        <v>33</v>
      </c>
      <c r="W26" s="5" t="s">
        <v>51</v>
      </c>
      <c r="X26" s="23">
        <v>46034.0</v>
      </c>
      <c r="Y26" s="11" t="s">
        <v>33</v>
      </c>
      <c r="Z26" s="14" t="s">
        <v>530</v>
      </c>
      <c r="AA26" s="5" t="s">
        <v>41</v>
      </c>
      <c r="AB26" s="23">
        <v>46035.0</v>
      </c>
      <c r="AC26" s="11" t="s">
        <v>33</v>
      </c>
    </row>
  </sheetData>
  <dataValidations>
    <dataValidation type="list" allowBlank="1" sqref="J2:J26 P2:P26 S2:S26 Y2:Y26">
      <formula1>"Concluído,Em Andamento,Pendente,Precisa de Alteração"</formula1>
    </dataValidation>
    <dataValidation type="custom" allowBlank="1" showDropDown="1" sqref="I2:I26 L2:L26 O2:O26 R2:R26 U2:U26 X2:X26 AB2:AB26">
      <formula1>OR(NOT(ISERROR(DATEVALUE(I2))), AND(ISNUMBER(I2), LEFT(CELL("format", I2))="D"))</formula1>
    </dataValidation>
    <dataValidation type="list" allowBlank="1" sqref="M2:M26 AC2:AC26">
      <formula1>"Concluído,Em Andamento,Pendente,Aguardando Correção"</formula1>
    </dataValidation>
    <dataValidation type="list" allowBlank="1" sqref="V2:V26">
      <formula1>"Concluído,Em Andamento,Pendente,Precisa de Alteração,Não Há"</formula1>
    </dataValidation>
    <dataValidation type="custom" allowBlank="1" showDropDown="1" sqref="F2:F26">
      <formula1>AND(ISNUMBER(F2),(NOT(OR(NOT(ISERROR(DATEVALUE(F2))), AND(ISNUMBER(F2), LEFT(CELL("format", F2))="D")))))</formula1>
    </dataValidation>
  </dataValidations>
  <hyperlinks>
    <hyperlink r:id="rId1" ref="G2"/>
    <hyperlink r:id="rId2" ref="Z2"/>
    <hyperlink r:id="rId3" ref="G3"/>
    <hyperlink r:id="rId4" ref="Z3"/>
    <hyperlink r:id="rId5" ref="G4"/>
    <hyperlink r:id="rId6" ref="Z4"/>
    <hyperlink r:id="rId7" ref="G5"/>
    <hyperlink r:id="rId8" ref="Z5"/>
    <hyperlink r:id="rId9" ref="G6"/>
    <hyperlink r:id="rId10" ref="Z6"/>
    <hyperlink r:id="rId11" ref="G7"/>
    <hyperlink r:id="rId12" ref="Z7"/>
    <hyperlink r:id="rId13" ref="Z8"/>
    <hyperlink r:id="rId14" ref="G9"/>
    <hyperlink r:id="rId15" ref="Z9"/>
    <hyperlink r:id="rId16" ref="G10"/>
    <hyperlink r:id="rId17" ref="Z10"/>
    <hyperlink r:id="rId18" ref="G11"/>
    <hyperlink r:id="rId19" ref="Z11"/>
    <hyperlink r:id="rId20" ref="G12"/>
    <hyperlink r:id="rId21" ref="Z12"/>
    <hyperlink r:id="rId22" ref="G13"/>
    <hyperlink r:id="rId23" ref="Z13"/>
    <hyperlink r:id="rId24" ref="G14"/>
    <hyperlink r:id="rId25" ref="Z14"/>
    <hyperlink r:id="rId26" ref="G15"/>
    <hyperlink r:id="rId27" ref="Z15"/>
    <hyperlink r:id="rId28" ref="G16"/>
    <hyperlink r:id="rId29" ref="Z16"/>
    <hyperlink r:id="rId30" ref="Z17"/>
    <hyperlink r:id="rId31" ref="G18"/>
    <hyperlink r:id="rId32" ref="Z18"/>
    <hyperlink r:id="rId33" ref="G19"/>
    <hyperlink r:id="rId34" ref="Z19"/>
    <hyperlink r:id="rId35" ref="G20"/>
    <hyperlink r:id="rId36" ref="Z20"/>
    <hyperlink r:id="rId37" ref="G21"/>
    <hyperlink r:id="rId38" ref="Z21"/>
    <hyperlink r:id="rId39" ref="G22"/>
    <hyperlink r:id="rId40" ref="Z22"/>
    <hyperlink r:id="rId41" ref="G23"/>
    <hyperlink r:id="rId42" ref="Z23"/>
    <hyperlink r:id="rId43" ref="Z24"/>
    <hyperlink r:id="rId44" ref="G25"/>
    <hyperlink r:id="rId45" ref="Z25"/>
    <hyperlink r:id="rId46" ref="G26"/>
    <hyperlink r:id="rId47" ref="Z26"/>
  </hyperlinks>
  <drawing r:id="rId48"/>
  <tableParts count="1">
    <tablePart r:id="rId50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23.0"/>
    <col customWidth="1" min="2" max="2" width="10.63"/>
    <col customWidth="1" min="3" max="3" width="19.13"/>
    <col customWidth="1" min="4" max="4" width="20.38"/>
    <col customWidth="1" min="5" max="5" width="24.38"/>
    <col customWidth="1" min="6" max="6" width="7.75"/>
    <col customWidth="1" min="7" max="7" width="26.13"/>
    <col customWidth="1" min="8" max="8" width="16.25"/>
    <col customWidth="1" min="9" max="9" width="20.13"/>
    <col customWidth="1" min="10" max="10" width="21.75"/>
    <col customWidth="1" min="11" max="11" width="16.25"/>
    <col customWidth="1" min="12" max="12" width="20.13"/>
    <col customWidth="1" min="13" max="13" width="21.75"/>
    <col customWidth="1" min="14" max="14" width="16.63"/>
    <col customWidth="1" min="15" max="15" width="20.13"/>
    <col customWidth="1" min="16" max="19" width="21.75"/>
    <col customWidth="1" min="20" max="20" width="16.25"/>
    <col customWidth="1" min="21" max="21" width="20.13"/>
    <col customWidth="1" min="22" max="22" width="21.75"/>
    <col customWidth="1" min="23" max="23" width="18.63"/>
    <col customWidth="1" min="24" max="24" width="20.13"/>
    <col customWidth="1" min="25" max="25" width="21.75"/>
    <col customWidth="1" min="26" max="26" width="30.13"/>
    <col customWidth="1" min="27" max="27" width="16.25"/>
    <col customWidth="1" min="28" max="28" width="20.13"/>
    <col customWidth="1" min="29" max="29" width="21.75"/>
  </cols>
  <sheetData>
    <row r="1" ht="22.5" customHeight="1">
      <c r="A1" s="1" t="s">
        <v>135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138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ht="22.5" customHeight="1">
      <c r="A2" s="5">
        <v>6.0</v>
      </c>
      <c r="B2" s="21">
        <v>1.0</v>
      </c>
      <c r="C2" s="5" t="s">
        <v>531</v>
      </c>
      <c r="D2" s="16" t="s">
        <v>30</v>
      </c>
      <c r="E2" s="7" t="str">
        <f>IFERROR(__xludf.DUMMYFUNCTION("IF(AND(F2 &gt; 0.3, F2 &lt; 0.5), SPARKLINE(F2,{""charttype"",""bar"";""color1"",""Gold"";""max"",1}),
IF(F2 = 1, SPARKLINE(F2,{""charttype"",""bar"";""color1"",""Lime"";""max"",1}),
IF(F2 &gt;= 0.5, SPARKLINE(F2,{""charttype"",""bar"";""color1"",""GreenYellow"";"&amp;"""max"",1}),
SPARKLINE(F2,{""charttype"",""bar"";""color1"",""DarkOrange"";""max"",1}))))"),"")</f>
        <v/>
      </c>
      <c r="F2" s="8">
        <f t="shared" ref="F2:F45" si="1">IF(OR(D2="ROTEIRO DE VÍDEO", D2="VÍDEO"), (IF(J2="Concluído", 1, 0) + IF(M2="Concluído", 1, 0) + IF(P2="Concluído", 1, 0) + IF(Y2="Concluído", 1, 0) + IF(AC2="Concluído", 1, 0)) / 5,
IF(OR(D2="SLIDE", D2="FÓRUM", D2="PLANO DE AULA", D2="QUIZ", D2="TAREFA", D2="EBOOK", D2="PDF(AVULSO)"), (IF(J2="Concluído", 1, 0) + IF(M2="Concluído", 1, 0) + IF(Y2="Concluído", 1, 0) + IF(AC2="Concluído", 1, 0)) / 4,0))</f>
        <v>0.8</v>
      </c>
      <c r="G2" s="14" t="s">
        <v>532</v>
      </c>
      <c r="H2" s="5" t="s">
        <v>141</v>
      </c>
      <c r="I2" s="10">
        <v>45999.0</v>
      </c>
      <c r="J2" s="11" t="s">
        <v>33</v>
      </c>
      <c r="K2" s="5" t="s">
        <v>457</v>
      </c>
      <c r="L2" s="10">
        <v>46000.0</v>
      </c>
      <c r="M2" s="11" t="s">
        <v>38</v>
      </c>
      <c r="N2" s="5" t="s">
        <v>456</v>
      </c>
      <c r="O2" s="10"/>
      <c r="P2" s="11" t="s">
        <v>33</v>
      </c>
      <c r="Q2" s="5" t="s">
        <v>36</v>
      </c>
      <c r="R2" s="23">
        <v>46013.0</v>
      </c>
      <c r="S2" s="12"/>
      <c r="T2" s="5" t="s">
        <v>143</v>
      </c>
      <c r="U2" s="10"/>
      <c r="V2" s="11"/>
      <c r="W2" s="5" t="s">
        <v>144</v>
      </c>
      <c r="X2" s="23">
        <v>46013.0</v>
      </c>
      <c r="Y2" s="11" t="s">
        <v>33</v>
      </c>
      <c r="Z2" s="14" t="s">
        <v>533</v>
      </c>
      <c r="AA2" s="5" t="s">
        <v>41</v>
      </c>
      <c r="AB2" s="23">
        <v>46014.0</v>
      </c>
      <c r="AC2" s="11" t="s">
        <v>33</v>
      </c>
    </row>
    <row r="3" ht="22.5" customHeight="1">
      <c r="A3" s="5">
        <v>6.0</v>
      </c>
      <c r="B3" s="21">
        <v>1.0</v>
      </c>
      <c r="C3" s="5" t="s">
        <v>534</v>
      </c>
      <c r="D3" s="16" t="s">
        <v>30</v>
      </c>
      <c r="E3" s="7" t="str">
        <f>IFERROR(__xludf.DUMMYFUNCTION("IF(AND(F3 &gt; 0.3, F3 &lt; 0.5), SPARKLINE(F3,{""charttype"",""bar"";""color1"",""Gold"";""max"",1}),
IF(F3 = 1, SPARKLINE(F3,{""charttype"",""bar"";""color1"",""Lime"";""max"",1}),
IF(F3 &gt;= 0.5, SPARKLINE(F3,{""charttype"",""bar"";""color1"",""GreenYellow"";"&amp;"""max"",1}),
SPARKLINE(F3,{""charttype"",""bar"";""color1"",""DarkOrange"";""max"",1}))))"),"")</f>
        <v/>
      </c>
      <c r="F3" s="8">
        <f t="shared" si="1"/>
        <v>0.8</v>
      </c>
      <c r="G3" s="14" t="s">
        <v>535</v>
      </c>
      <c r="H3" s="5" t="s">
        <v>141</v>
      </c>
      <c r="I3" s="10">
        <v>45999.0</v>
      </c>
      <c r="J3" s="11" t="s">
        <v>33</v>
      </c>
      <c r="K3" s="5" t="s">
        <v>457</v>
      </c>
      <c r="L3" s="10">
        <v>46000.0</v>
      </c>
      <c r="M3" s="11" t="s">
        <v>38</v>
      </c>
      <c r="N3" s="5" t="s">
        <v>456</v>
      </c>
      <c r="O3" s="10"/>
      <c r="P3" s="11" t="s">
        <v>33</v>
      </c>
      <c r="Q3" s="5" t="s">
        <v>36</v>
      </c>
      <c r="R3" s="23">
        <v>46013.0</v>
      </c>
      <c r="S3" s="12"/>
      <c r="T3" s="5" t="s">
        <v>143</v>
      </c>
      <c r="U3" s="10"/>
      <c r="V3" s="11"/>
      <c r="W3" s="5" t="s">
        <v>144</v>
      </c>
      <c r="X3" s="23">
        <v>46013.0</v>
      </c>
      <c r="Y3" s="11" t="s">
        <v>33</v>
      </c>
      <c r="Z3" s="14" t="s">
        <v>536</v>
      </c>
      <c r="AA3" s="5" t="s">
        <v>41</v>
      </c>
      <c r="AB3" s="23">
        <v>46014.0</v>
      </c>
      <c r="AC3" s="11" t="s">
        <v>33</v>
      </c>
    </row>
    <row r="4" ht="22.5" customHeight="1">
      <c r="A4" s="5">
        <v>6.0</v>
      </c>
      <c r="B4" s="21">
        <v>1.0</v>
      </c>
      <c r="C4" s="5" t="s">
        <v>537</v>
      </c>
      <c r="D4" s="16" t="s">
        <v>30</v>
      </c>
      <c r="E4" s="7" t="str">
        <f>IFERROR(__xludf.DUMMYFUNCTION("IF(AND(F4 &gt; 0.3, F4 &lt; 0.5), SPARKLINE(F4,{""charttype"",""bar"";""color1"",""Gold"";""max"",1}),
IF(F4 = 1, SPARKLINE(F4,{""charttype"",""bar"";""color1"",""Lime"";""max"",1}),
IF(F4 &gt;= 0.5, SPARKLINE(F4,{""charttype"",""bar"";""color1"",""GreenYellow"";"&amp;"""max"",1}),
SPARKLINE(F4,{""charttype"",""bar"";""color1"",""DarkOrange"";""max"",1}))))"),"")</f>
        <v/>
      </c>
      <c r="F4" s="8">
        <f t="shared" si="1"/>
        <v>0.8</v>
      </c>
      <c r="G4" s="14" t="s">
        <v>538</v>
      </c>
      <c r="H4" s="5" t="s">
        <v>141</v>
      </c>
      <c r="I4" s="10">
        <v>45999.0</v>
      </c>
      <c r="J4" s="11" t="s">
        <v>33</v>
      </c>
      <c r="K4" s="5" t="s">
        <v>457</v>
      </c>
      <c r="L4" s="10">
        <v>46000.0</v>
      </c>
      <c r="M4" s="11" t="s">
        <v>38</v>
      </c>
      <c r="N4" s="5" t="s">
        <v>456</v>
      </c>
      <c r="O4" s="10"/>
      <c r="P4" s="11" t="s">
        <v>33</v>
      </c>
      <c r="Q4" s="5" t="s">
        <v>36</v>
      </c>
      <c r="R4" s="23">
        <v>46013.0</v>
      </c>
      <c r="S4" s="12"/>
      <c r="T4" s="5" t="s">
        <v>143</v>
      </c>
      <c r="U4" s="10"/>
      <c r="V4" s="11"/>
      <c r="W4" s="5" t="s">
        <v>144</v>
      </c>
      <c r="X4" s="23">
        <v>46013.0</v>
      </c>
      <c r="Y4" s="11" t="s">
        <v>33</v>
      </c>
      <c r="Z4" s="14" t="s">
        <v>539</v>
      </c>
      <c r="AA4" s="5" t="s">
        <v>41</v>
      </c>
      <c r="AB4" s="23">
        <v>46014.0</v>
      </c>
      <c r="AC4" s="11" t="s">
        <v>33</v>
      </c>
    </row>
    <row r="5" ht="22.5" customHeight="1">
      <c r="A5" s="5">
        <v>6.0</v>
      </c>
      <c r="B5" s="21">
        <v>1.0</v>
      </c>
      <c r="C5" s="5" t="s">
        <v>540</v>
      </c>
      <c r="D5" s="16" t="s">
        <v>30</v>
      </c>
      <c r="E5" s="7" t="str">
        <f>IFERROR(__xludf.DUMMYFUNCTION("IF(AND(F5 &gt; 0.3, F5 &lt; 0.5), SPARKLINE(F5,{""charttype"",""bar"";""color1"",""Gold"";""max"",1}),
IF(F5 = 1, SPARKLINE(F5,{""charttype"",""bar"";""color1"",""Lime"";""max"",1}),
IF(F5 &gt;= 0.5, SPARKLINE(F5,{""charttype"",""bar"";""color1"",""GreenYellow"";"&amp;"""max"",1}),
SPARKLINE(F5,{""charttype"",""bar"";""color1"",""DarkOrange"";""max"",1}))))"),"")</f>
        <v/>
      </c>
      <c r="F5" s="8">
        <f t="shared" si="1"/>
        <v>0.8</v>
      </c>
      <c r="G5" s="14" t="s">
        <v>541</v>
      </c>
      <c r="H5" s="5" t="s">
        <v>141</v>
      </c>
      <c r="I5" s="10">
        <v>45999.0</v>
      </c>
      <c r="J5" s="11" t="s">
        <v>33</v>
      </c>
      <c r="K5" s="5" t="s">
        <v>457</v>
      </c>
      <c r="L5" s="10">
        <v>46000.0</v>
      </c>
      <c r="M5" s="11" t="s">
        <v>38</v>
      </c>
      <c r="N5" s="5" t="s">
        <v>456</v>
      </c>
      <c r="O5" s="10"/>
      <c r="P5" s="11" t="s">
        <v>33</v>
      </c>
      <c r="Q5" s="5" t="s">
        <v>36</v>
      </c>
      <c r="R5" s="23">
        <v>46013.0</v>
      </c>
      <c r="S5" s="12"/>
      <c r="T5" s="5" t="s">
        <v>143</v>
      </c>
      <c r="U5" s="10"/>
      <c r="V5" s="11"/>
      <c r="W5" s="5" t="s">
        <v>144</v>
      </c>
      <c r="X5" s="23">
        <v>46013.0</v>
      </c>
      <c r="Y5" s="11" t="s">
        <v>33</v>
      </c>
      <c r="Z5" s="14" t="s">
        <v>542</v>
      </c>
      <c r="AA5" s="5" t="s">
        <v>41</v>
      </c>
      <c r="AB5" s="23">
        <v>46014.0</v>
      </c>
      <c r="AC5" s="11" t="s">
        <v>33</v>
      </c>
    </row>
    <row r="6" ht="22.5" customHeight="1">
      <c r="A6" s="5">
        <v>6.0</v>
      </c>
      <c r="B6" s="21">
        <v>1.0</v>
      </c>
      <c r="C6" s="5" t="s">
        <v>543</v>
      </c>
      <c r="D6" s="16" t="s">
        <v>49</v>
      </c>
      <c r="E6" s="7" t="str">
        <f>IFERROR(__xludf.DUMMYFUNCTION("IF(AND(F6 &gt; 0.3, F6 &lt; 0.5), SPARKLINE(F6,{""charttype"",""bar"";""color1"",""Gold"";""max"",1}),
IF(F6 = 1, SPARKLINE(F6,{""charttype"",""bar"";""color1"",""Lime"";""max"",1}),
IF(F6 &gt;= 0.5, SPARKLINE(F6,{""charttype"",""bar"";""color1"",""GreenYellow"";"&amp;"""max"",1}),
SPARKLINE(F6,{""charttype"",""bar"";""color1"",""DarkOrange"";""max"",1}))))"),"")</f>
        <v/>
      </c>
      <c r="F6" s="8">
        <f t="shared" si="1"/>
        <v>0.75</v>
      </c>
      <c r="G6" s="14" t="s">
        <v>544</v>
      </c>
      <c r="H6" s="5" t="s">
        <v>141</v>
      </c>
      <c r="I6" s="10">
        <v>45999.0</v>
      </c>
      <c r="J6" s="11" t="s">
        <v>33</v>
      </c>
      <c r="K6" s="5" t="s">
        <v>457</v>
      </c>
      <c r="L6" s="10">
        <v>46000.0</v>
      </c>
      <c r="M6" s="11" t="s">
        <v>38</v>
      </c>
      <c r="N6" s="5" t="s">
        <v>456</v>
      </c>
      <c r="O6" s="10"/>
      <c r="P6" s="20"/>
      <c r="Q6" s="5" t="s">
        <v>36</v>
      </c>
      <c r="R6" s="23">
        <v>45999.0</v>
      </c>
      <c r="S6" s="37"/>
      <c r="T6" s="5" t="s">
        <v>143</v>
      </c>
      <c r="U6" s="10"/>
      <c r="V6" s="11" t="s">
        <v>33</v>
      </c>
      <c r="W6" s="5" t="s">
        <v>51</v>
      </c>
      <c r="X6" s="23">
        <v>45999.0</v>
      </c>
      <c r="Y6" s="11" t="s">
        <v>33</v>
      </c>
      <c r="Z6" s="14" t="s">
        <v>545</v>
      </c>
      <c r="AA6" s="5" t="s">
        <v>41</v>
      </c>
      <c r="AB6" s="23">
        <v>46000.0</v>
      </c>
      <c r="AC6" s="11" t="s">
        <v>33</v>
      </c>
    </row>
    <row r="7" ht="22.5" customHeight="1">
      <c r="A7" s="5">
        <v>6.0</v>
      </c>
      <c r="B7" s="21">
        <v>1.0</v>
      </c>
      <c r="C7" s="5" t="s">
        <v>546</v>
      </c>
      <c r="D7" s="16" t="s">
        <v>49</v>
      </c>
      <c r="E7" s="7" t="str">
        <f>IFERROR(__xludf.DUMMYFUNCTION("IF(AND(F7 &gt; 0.3, F7 &lt; 0.5), SPARKLINE(F7,{""charttype"",""bar"";""color1"",""Gold"";""max"",1}),
IF(F7 = 1, SPARKLINE(F7,{""charttype"",""bar"";""color1"",""Lime"";""max"",1}),
IF(F7 &gt;= 0.5, SPARKLINE(F7,{""charttype"",""bar"";""color1"",""GreenYellow"";"&amp;"""max"",1}),
SPARKLINE(F7,{""charttype"",""bar"";""color1"",""DarkOrange"";""max"",1}))))"),"")</f>
        <v/>
      </c>
      <c r="F7" s="8">
        <f t="shared" si="1"/>
        <v>0.75</v>
      </c>
      <c r="G7" s="14" t="s">
        <v>547</v>
      </c>
      <c r="H7" s="5" t="s">
        <v>141</v>
      </c>
      <c r="I7" s="10">
        <v>45999.0</v>
      </c>
      <c r="J7" s="11" t="s">
        <v>33</v>
      </c>
      <c r="K7" s="5" t="s">
        <v>457</v>
      </c>
      <c r="L7" s="10">
        <v>46000.0</v>
      </c>
      <c r="M7" s="11" t="s">
        <v>38</v>
      </c>
      <c r="N7" s="5" t="s">
        <v>456</v>
      </c>
      <c r="O7" s="10"/>
      <c r="P7" s="20"/>
      <c r="Q7" s="5" t="s">
        <v>36</v>
      </c>
      <c r="R7" s="23">
        <v>45999.0</v>
      </c>
      <c r="S7" s="37"/>
      <c r="T7" s="5" t="s">
        <v>143</v>
      </c>
      <c r="U7" s="10"/>
      <c r="V7" s="11" t="s">
        <v>548</v>
      </c>
      <c r="W7" s="5" t="s">
        <v>51</v>
      </c>
      <c r="X7" s="23">
        <v>45999.0</v>
      </c>
      <c r="Y7" s="11" t="s">
        <v>33</v>
      </c>
      <c r="Z7" s="14" t="s">
        <v>549</v>
      </c>
      <c r="AA7" s="5" t="s">
        <v>41</v>
      </c>
      <c r="AB7" s="23">
        <v>46000.0</v>
      </c>
      <c r="AC7" s="11" t="s">
        <v>33</v>
      </c>
    </row>
    <row r="8" ht="22.5" customHeight="1">
      <c r="A8" s="5">
        <v>6.0</v>
      </c>
      <c r="B8" s="21">
        <v>1.0</v>
      </c>
      <c r="C8" s="5" t="s">
        <v>550</v>
      </c>
      <c r="D8" s="16" t="s">
        <v>49</v>
      </c>
      <c r="E8" s="7" t="str">
        <f>IFERROR(__xludf.DUMMYFUNCTION("IF(AND(F8 &gt; 0.3, F8 &lt; 0.5), SPARKLINE(F8,{""charttype"",""bar"";""color1"",""Gold"";""max"",1}),
IF(F8 = 1, SPARKLINE(F8,{""charttype"",""bar"";""color1"",""Lime"";""max"",1}),
IF(F8 &gt;= 0.5, SPARKLINE(F8,{""charttype"",""bar"";""color1"",""GreenYellow"";"&amp;"""max"",1}),
SPARKLINE(F8,{""charttype"",""bar"";""color1"",""DarkOrange"";""max"",1}))))"),"")</f>
        <v/>
      </c>
      <c r="F8" s="8">
        <f t="shared" si="1"/>
        <v>0.75</v>
      </c>
      <c r="G8" s="14" t="s">
        <v>551</v>
      </c>
      <c r="H8" s="5" t="s">
        <v>141</v>
      </c>
      <c r="I8" s="10">
        <v>45999.0</v>
      </c>
      <c r="J8" s="11" t="s">
        <v>33</v>
      </c>
      <c r="K8" s="5" t="s">
        <v>457</v>
      </c>
      <c r="L8" s="10">
        <v>46000.0</v>
      </c>
      <c r="M8" s="11" t="s">
        <v>38</v>
      </c>
      <c r="N8" s="5" t="s">
        <v>456</v>
      </c>
      <c r="O8" s="10"/>
      <c r="P8" s="20"/>
      <c r="Q8" s="5" t="s">
        <v>36</v>
      </c>
      <c r="R8" s="23">
        <v>46000.0</v>
      </c>
      <c r="S8" s="37"/>
      <c r="T8" s="5" t="s">
        <v>143</v>
      </c>
      <c r="U8" s="10"/>
      <c r="V8" s="20"/>
      <c r="W8" s="5" t="s">
        <v>51</v>
      </c>
      <c r="X8" s="23">
        <v>46000.0</v>
      </c>
      <c r="Y8" s="11" t="s">
        <v>33</v>
      </c>
      <c r="Z8" s="14" t="s">
        <v>552</v>
      </c>
      <c r="AA8" s="5" t="s">
        <v>41</v>
      </c>
      <c r="AB8" s="23">
        <v>46000.0</v>
      </c>
      <c r="AC8" s="11" t="s">
        <v>33</v>
      </c>
    </row>
    <row r="9" ht="22.5" customHeight="1">
      <c r="A9" s="5">
        <v>6.0</v>
      </c>
      <c r="B9" s="21">
        <v>1.0</v>
      </c>
      <c r="C9" s="5" t="s">
        <v>553</v>
      </c>
      <c r="D9" s="16" t="s">
        <v>49</v>
      </c>
      <c r="E9" s="7" t="str">
        <f>IFERROR(__xludf.DUMMYFUNCTION("IF(AND(F9 &gt; 0.3, F9 &lt; 0.5), SPARKLINE(F9,{""charttype"",""bar"";""color1"",""Gold"";""max"",1}),
IF(F9 = 1, SPARKLINE(F9,{""charttype"",""bar"";""color1"",""Lime"";""max"",1}),
IF(F9 &gt;= 0.5, SPARKLINE(F9,{""charttype"",""bar"";""color1"",""GreenYellow"";"&amp;"""max"",1}),
SPARKLINE(F9,{""charttype"",""bar"";""color1"",""DarkOrange"";""max"",1}))))"),"")</f>
        <v/>
      </c>
      <c r="F9" s="8">
        <f t="shared" si="1"/>
        <v>0.75</v>
      </c>
      <c r="G9" s="14" t="s">
        <v>554</v>
      </c>
      <c r="H9" s="5" t="s">
        <v>141</v>
      </c>
      <c r="I9" s="10">
        <v>45999.0</v>
      </c>
      <c r="J9" s="11" t="s">
        <v>33</v>
      </c>
      <c r="K9" s="5" t="s">
        <v>457</v>
      </c>
      <c r="L9" s="10">
        <v>46000.0</v>
      </c>
      <c r="M9" s="11" t="s">
        <v>38</v>
      </c>
      <c r="N9" s="5" t="s">
        <v>456</v>
      </c>
      <c r="O9" s="10"/>
      <c r="P9" s="20"/>
      <c r="Q9" s="5" t="s">
        <v>36</v>
      </c>
      <c r="R9" s="23">
        <v>46000.0</v>
      </c>
      <c r="S9" s="37"/>
      <c r="T9" s="5" t="s">
        <v>143</v>
      </c>
      <c r="U9" s="10"/>
      <c r="V9" s="20"/>
      <c r="W9" s="5" t="s">
        <v>51</v>
      </c>
      <c r="X9" s="23">
        <v>46000.0</v>
      </c>
      <c r="Y9" s="11" t="s">
        <v>33</v>
      </c>
      <c r="Z9" s="14" t="s">
        <v>555</v>
      </c>
      <c r="AA9" s="5" t="s">
        <v>41</v>
      </c>
      <c r="AB9" s="23">
        <v>46000.0</v>
      </c>
      <c r="AC9" s="11" t="s">
        <v>33</v>
      </c>
    </row>
    <row r="10" ht="22.5" customHeight="1">
      <c r="A10" s="5">
        <v>6.0</v>
      </c>
      <c r="B10" s="21">
        <v>1.0</v>
      </c>
      <c r="C10" s="5" t="s">
        <v>556</v>
      </c>
      <c r="D10" s="16" t="s">
        <v>60</v>
      </c>
      <c r="E10" s="7" t="str">
        <f>IFERROR(__xludf.DUMMYFUNCTION("IF(AND(F10 &gt; 0.3, F10 &lt; 0.5), SPARKLINE(F10,{""charttype"",""bar"";""color1"",""Gold"";""max"",1}),
IF(F10 = 1, SPARKLINE(F10,{""charttype"",""bar"";""color1"",""Lime"";""max"",1}),
IF(F10 &gt;= 0.5, SPARKLINE(F10,{""charttype"",""bar"";""color1"",""GreenYel"&amp;"low"";""max"",1}),
SPARKLINE(F10,{""charttype"",""bar"";""color1"",""DarkOrange"";""max"",1}))))"),"")</f>
        <v/>
      </c>
      <c r="F10" s="8">
        <f t="shared" si="1"/>
        <v>0.75</v>
      </c>
      <c r="G10" s="14" t="s">
        <v>557</v>
      </c>
      <c r="H10" s="5" t="s">
        <v>141</v>
      </c>
      <c r="I10" s="10">
        <v>45999.0</v>
      </c>
      <c r="J10" s="11" t="s">
        <v>33</v>
      </c>
      <c r="K10" s="5" t="s">
        <v>457</v>
      </c>
      <c r="L10" s="10">
        <v>46000.0</v>
      </c>
      <c r="M10" s="11" t="s">
        <v>38</v>
      </c>
      <c r="N10" s="5" t="s">
        <v>456</v>
      </c>
      <c r="O10" s="10"/>
      <c r="P10" s="20"/>
      <c r="Q10" s="5" t="s">
        <v>36</v>
      </c>
      <c r="R10" s="23">
        <v>45995.0</v>
      </c>
      <c r="S10" s="37"/>
      <c r="T10" s="5" t="s">
        <v>143</v>
      </c>
      <c r="U10" s="10"/>
      <c r="V10" s="20"/>
      <c r="W10" s="5" t="s">
        <v>51</v>
      </c>
      <c r="X10" s="23">
        <v>45995.0</v>
      </c>
      <c r="Y10" s="11" t="s">
        <v>33</v>
      </c>
      <c r="Z10" s="14" t="s">
        <v>558</v>
      </c>
      <c r="AA10" s="5" t="s">
        <v>41</v>
      </c>
      <c r="AB10" s="23">
        <v>45996.0</v>
      </c>
      <c r="AC10" s="11" t="s">
        <v>33</v>
      </c>
    </row>
    <row r="11" ht="22.5" customHeight="1">
      <c r="A11" s="5">
        <v>6.0</v>
      </c>
      <c r="B11" s="21">
        <v>1.0</v>
      </c>
      <c r="C11" s="5" t="s">
        <v>559</v>
      </c>
      <c r="D11" s="16" t="s">
        <v>64</v>
      </c>
      <c r="E11" s="7" t="str">
        <f>IFERROR(__xludf.DUMMYFUNCTION("IF(AND(F11 &gt; 0.3, F11 &lt; 0.5), SPARKLINE(F11,{""charttype"",""bar"";""color1"",""Gold"";""max"",1}),
IF(F11 = 1, SPARKLINE(F11,{""charttype"",""bar"";""color1"",""Lime"";""max"",1}),
IF(F11 &gt;= 0.5, SPARKLINE(F11,{""charttype"",""bar"";""color1"",""GreenYel"&amp;"low"";""max"",1}),
SPARKLINE(F11,{""charttype"",""bar"";""color1"",""DarkOrange"";""max"",1}))))"),"")</f>
        <v/>
      </c>
      <c r="F11" s="8">
        <f t="shared" si="1"/>
        <v>0.75</v>
      </c>
      <c r="G11" s="14" t="s">
        <v>560</v>
      </c>
      <c r="H11" s="5" t="s">
        <v>141</v>
      </c>
      <c r="I11" s="10">
        <v>45999.0</v>
      </c>
      <c r="J11" s="11" t="s">
        <v>33</v>
      </c>
      <c r="K11" s="5" t="s">
        <v>457</v>
      </c>
      <c r="L11" s="10">
        <v>46000.0</v>
      </c>
      <c r="M11" s="11" t="s">
        <v>38</v>
      </c>
      <c r="N11" s="5" t="s">
        <v>456</v>
      </c>
      <c r="O11" s="10"/>
      <c r="P11" s="20"/>
      <c r="Q11" s="5" t="s">
        <v>36</v>
      </c>
      <c r="R11" s="23">
        <v>45999.0</v>
      </c>
      <c r="S11" s="37"/>
      <c r="T11" s="5" t="s">
        <v>143</v>
      </c>
      <c r="U11" s="10"/>
      <c r="V11" s="20"/>
      <c r="W11" s="5" t="s">
        <v>51</v>
      </c>
      <c r="X11" s="23">
        <v>45999.0</v>
      </c>
      <c r="Y11" s="11" t="s">
        <v>33</v>
      </c>
      <c r="Z11" s="14" t="s">
        <v>561</v>
      </c>
      <c r="AA11" s="5" t="s">
        <v>41</v>
      </c>
      <c r="AB11" s="23">
        <v>45999.0</v>
      </c>
      <c r="AC11" s="11" t="s">
        <v>33</v>
      </c>
    </row>
    <row r="12" ht="22.5" customHeight="1">
      <c r="A12" s="5">
        <v>6.0</v>
      </c>
      <c r="B12" s="21">
        <v>1.0</v>
      </c>
      <c r="C12" s="5" t="s">
        <v>562</v>
      </c>
      <c r="D12" s="16" t="s">
        <v>169</v>
      </c>
      <c r="E12" s="7" t="str">
        <f>IFERROR(__xludf.DUMMYFUNCTION("IF(AND(F12 &gt; 0.3, F12 &lt; 0.5), SPARKLINE(F12,{""charttype"",""bar"";""color1"",""Gold"";""max"",1}),
IF(F12 = 1, SPARKLINE(F12,{""charttype"",""bar"";""color1"",""Lime"";""max"",1}),
IF(F12 &gt;= 0.5, SPARKLINE(F12,{""charttype"",""bar"";""color1"",""GreenYel"&amp;"low"";""max"",1}),
SPARKLINE(F12,{""charttype"",""bar"";""color1"",""DarkOrange"";""max"",1}))))"),"")</f>
        <v/>
      </c>
      <c r="F12" s="8">
        <f t="shared" si="1"/>
        <v>0.8</v>
      </c>
      <c r="G12" s="19"/>
      <c r="H12" s="5" t="s">
        <v>141</v>
      </c>
      <c r="I12" s="10">
        <v>45999.0</v>
      </c>
      <c r="J12" s="11" t="s">
        <v>33</v>
      </c>
      <c r="K12" s="5" t="s">
        <v>457</v>
      </c>
      <c r="L12" s="10">
        <v>46000.0</v>
      </c>
      <c r="M12" s="11" t="s">
        <v>38</v>
      </c>
      <c r="N12" s="5" t="s">
        <v>456</v>
      </c>
      <c r="O12" s="10"/>
      <c r="P12" s="11" t="s">
        <v>33</v>
      </c>
      <c r="Q12" s="5" t="s">
        <v>36</v>
      </c>
      <c r="R12" s="23">
        <v>46013.0</v>
      </c>
      <c r="S12" s="12"/>
      <c r="T12" s="5" t="s">
        <v>143</v>
      </c>
      <c r="U12" s="10"/>
      <c r="V12" s="20"/>
      <c r="W12" s="5" t="s">
        <v>144</v>
      </c>
      <c r="X12" s="23">
        <v>46013.0</v>
      </c>
      <c r="Y12" s="11" t="s">
        <v>33</v>
      </c>
      <c r="Z12" s="14" t="s">
        <v>563</v>
      </c>
      <c r="AA12" s="5" t="s">
        <v>41</v>
      </c>
      <c r="AB12" s="23">
        <v>46014.0</v>
      </c>
      <c r="AC12" s="11" t="s">
        <v>33</v>
      </c>
    </row>
    <row r="13" ht="22.5" customHeight="1">
      <c r="A13" s="5">
        <v>6.0</v>
      </c>
      <c r="B13" s="21">
        <v>1.0</v>
      </c>
      <c r="C13" s="5" t="s">
        <v>564</v>
      </c>
      <c r="D13" s="16" t="s">
        <v>72</v>
      </c>
      <c r="E13" s="7" t="str">
        <f>IFERROR(__xludf.DUMMYFUNCTION("IF(AND(F13 &gt; 0.3, F13 &lt; 0.5), SPARKLINE(F13,{""charttype"",""bar"";""color1"",""Gold"";""max"",1}),
IF(F13 = 1, SPARKLINE(F13,{""charttype"",""bar"";""color1"",""Lime"";""max"",1}),
IF(F13 &gt;= 0.5, SPARKLINE(F13,{""charttype"",""bar"";""color1"",""GreenYel"&amp;"low"";""max"",1}),
SPARKLINE(F13,{""charttype"",""bar"";""color1"",""DarkOrange"";""max"",1}))))"),"")</f>
        <v/>
      </c>
      <c r="F13" s="8">
        <f t="shared" si="1"/>
        <v>0.75</v>
      </c>
      <c r="G13" s="14" t="s">
        <v>565</v>
      </c>
      <c r="H13" s="5" t="s">
        <v>141</v>
      </c>
      <c r="I13" s="10">
        <v>45999.0</v>
      </c>
      <c r="J13" s="11" t="s">
        <v>33</v>
      </c>
      <c r="K13" s="5" t="s">
        <v>457</v>
      </c>
      <c r="L13" s="10">
        <v>46000.0</v>
      </c>
      <c r="M13" s="11" t="s">
        <v>38</v>
      </c>
      <c r="N13" s="5" t="s">
        <v>456</v>
      </c>
      <c r="O13" s="10"/>
      <c r="P13" s="20"/>
      <c r="Q13" s="5" t="s">
        <v>36</v>
      </c>
      <c r="R13" s="23">
        <v>45995.0</v>
      </c>
      <c r="S13" s="37"/>
      <c r="T13" s="5" t="s">
        <v>143</v>
      </c>
      <c r="U13" s="10"/>
      <c r="V13" s="20"/>
      <c r="W13" s="5" t="s">
        <v>51</v>
      </c>
      <c r="X13" s="23">
        <v>45995.0</v>
      </c>
      <c r="Y13" s="11" t="s">
        <v>33</v>
      </c>
      <c r="Z13" s="14" t="s">
        <v>566</v>
      </c>
      <c r="AA13" s="5" t="s">
        <v>41</v>
      </c>
      <c r="AB13" s="23">
        <v>45995.0</v>
      </c>
      <c r="AC13" s="11" t="s">
        <v>33</v>
      </c>
    </row>
    <row r="14" ht="22.5" customHeight="1">
      <c r="A14" s="5">
        <v>6.0</v>
      </c>
      <c r="B14" s="21">
        <v>1.0</v>
      </c>
      <c r="C14" s="5" t="s">
        <v>567</v>
      </c>
      <c r="D14" s="16" t="s">
        <v>68</v>
      </c>
      <c r="E14" s="7" t="str">
        <f>IFERROR(__xludf.DUMMYFUNCTION("IF(AND(F14 &gt; 0.3, F14 &lt; 0.5), SPARKLINE(F14,{""charttype"",""bar"";""color1"",""Gold"";""max"",1}),
IF(F14 = 1, SPARKLINE(F14,{""charttype"",""bar"";""color1"",""Lime"";""max"",1}),
IF(F14 &gt;= 0.5, SPARKLINE(F14,{""charttype"",""bar"";""color1"",""GreenYel"&amp;"low"";""max"",1}),
SPARKLINE(F14,{""charttype"",""bar"";""color1"",""DarkOrange"";""max"",1}))))"),"")</f>
        <v/>
      </c>
      <c r="F14" s="8">
        <f t="shared" si="1"/>
        <v>0.75</v>
      </c>
      <c r="G14" s="14" t="s">
        <v>568</v>
      </c>
      <c r="H14" s="5" t="s">
        <v>141</v>
      </c>
      <c r="I14" s="10">
        <v>45999.0</v>
      </c>
      <c r="J14" s="11" t="s">
        <v>33</v>
      </c>
      <c r="K14" s="5" t="s">
        <v>457</v>
      </c>
      <c r="L14" s="10">
        <v>46000.0</v>
      </c>
      <c r="M14" s="11" t="s">
        <v>38</v>
      </c>
      <c r="N14" s="5" t="s">
        <v>456</v>
      </c>
      <c r="O14" s="10"/>
      <c r="P14" s="20"/>
      <c r="Q14" s="5" t="s">
        <v>36</v>
      </c>
      <c r="R14" s="23">
        <v>46010.0</v>
      </c>
      <c r="S14" s="37"/>
      <c r="T14" s="5" t="s">
        <v>143</v>
      </c>
      <c r="U14" s="10"/>
      <c r="V14" s="20"/>
      <c r="W14" s="5" t="s">
        <v>51</v>
      </c>
      <c r="X14" s="23">
        <v>46010.0</v>
      </c>
      <c r="Y14" s="11" t="s">
        <v>33</v>
      </c>
      <c r="Z14" s="14" t="s">
        <v>569</v>
      </c>
      <c r="AA14" s="5" t="s">
        <v>41</v>
      </c>
      <c r="AB14" s="23">
        <v>46010.0</v>
      </c>
      <c r="AC14" s="11" t="s">
        <v>33</v>
      </c>
    </row>
    <row r="15" ht="22.5" customHeight="1">
      <c r="A15" s="5">
        <v>6.0</v>
      </c>
      <c r="B15" s="21">
        <v>2.0</v>
      </c>
      <c r="C15" s="5" t="s">
        <v>570</v>
      </c>
      <c r="D15" s="16" t="s">
        <v>30</v>
      </c>
      <c r="E15" s="7" t="str">
        <f>IFERROR(__xludf.DUMMYFUNCTION("IF(AND(F15 &gt; 0.3, F15 &lt; 0.5), SPARKLINE(F15,{""charttype"",""bar"";""color1"",""Gold"";""max"",1}),
IF(F15 = 1, SPARKLINE(F15,{""charttype"",""bar"";""color1"",""Lime"";""max"",1}),
IF(F15 &gt;= 0.5, SPARKLINE(F15,{""charttype"",""bar"";""color1"",""GreenYel"&amp;"low"";""max"",1}),
SPARKLINE(F15,{""charttype"",""bar"";""color1"",""DarkOrange"";""max"",1}))))"),"")</f>
        <v/>
      </c>
      <c r="F15" s="8">
        <f t="shared" si="1"/>
        <v>0.8</v>
      </c>
      <c r="G15" s="14" t="s">
        <v>571</v>
      </c>
      <c r="H15" s="5" t="s">
        <v>141</v>
      </c>
      <c r="I15" s="10">
        <v>45999.0</v>
      </c>
      <c r="J15" s="11" t="s">
        <v>33</v>
      </c>
      <c r="K15" s="5" t="s">
        <v>457</v>
      </c>
      <c r="L15" s="10">
        <v>46002.0</v>
      </c>
      <c r="M15" s="11" t="s">
        <v>38</v>
      </c>
      <c r="N15" s="5" t="s">
        <v>456</v>
      </c>
      <c r="O15" s="10"/>
      <c r="P15" s="11" t="s">
        <v>33</v>
      </c>
      <c r="Q15" s="5" t="s">
        <v>36</v>
      </c>
      <c r="R15" s="23">
        <v>46013.0</v>
      </c>
      <c r="S15" s="12"/>
      <c r="T15" s="5" t="s">
        <v>143</v>
      </c>
      <c r="U15" s="10"/>
      <c r="V15" s="20"/>
      <c r="W15" s="5" t="s">
        <v>144</v>
      </c>
      <c r="X15" s="23">
        <v>46013.0</v>
      </c>
      <c r="Y15" s="11" t="s">
        <v>33</v>
      </c>
      <c r="Z15" s="14" t="s">
        <v>572</v>
      </c>
      <c r="AA15" s="5" t="s">
        <v>41</v>
      </c>
      <c r="AB15" s="23">
        <v>46014.0</v>
      </c>
      <c r="AC15" s="11" t="s">
        <v>33</v>
      </c>
    </row>
    <row r="16" ht="22.5" customHeight="1">
      <c r="A16" s="5">
        <v>6.0</v>
      </c>
      <c r="B16" s="21">
        <v>2.0</v>
      </c>
      <c r="C16" s="5" t="s">
        <v>573</v>
      </c>
      <c r="D16" s="16" t="s">
        <v>30</v>
      </c>
      <c r="E16" s="7" t="str">
        <f>IFERROR(__xludf.DUMMYFUNCTION("IF(AND(F16 &gt; 0.3, F16 &lt; 0.5), SPARKLINE(F16,{""charttype"",""bar"";""color1"",""Gold"";""max"",1}),
IF(F16 = 1, SPARKLINE(F16,{""charttype"",""bar"";""color1"",""Lime"";""max"",1}),
IF(F16 &gt;= 0.5, SPARKLINE(F16,{""charttype"",""bar"";""color1"",""GreenYel"&amp;"low"";""max"",1}),
SPARKLINE(F16,{""charttype"",""bar"";""color1"",""DarkOrange"";""max"",1}))))"),"")</f>
        <v/>
      </c>
      <c r="F16" s="8">
        <f t="shared" si="1"/>
        <v>0.6</v>
      </c>
      <c r="G16" s="14" t="s">
        <v>574</v>
      </c>
      <c r="H16" s="5" t="s">
        <v>141</v>
      </c>
      <c r="I16" s="10">
        <v>45999.0</v>
      </c>
      <c r="J16" s="11" t="s">
        <v>33</v>
      </c>
      <c r="K16" s="5" t="s">
        <v>457</v>
      </c>
      <c r="L16" s="10">
        <v>46002.0</v>
      </c>
      <c r="M16" s="11" t="s">
        <v>38</v>
      </c>
      <c r="N16" s="5" t="s">
        <v>456</v>
      </c>
      <c r="O16" s="10"/>
      <c r="P16" s="11" t="s">
        <v>33</v>
      </c>
      <c r="Q16" s="5" t="s">
        <v>36</v>
      </c>
      <c r="R16" s="23">
        <v>46013.0</v>
      </c>
      <c r="S16" s="12"/>
      <c r="T16" s="5" t="s">
        <v>143</v>
      </c>
      <c r="U16" s="10"/>
      <c r="V16" s="20"/>
      <c r="W16" s="5" t="s">
        <v>144</v>
      </c>
      <c r="X16" s="23">
        <v>46013.0</v>
      </c>
      <c r="Y16" s="11" t="s">
        <v>33</v>
      </c>
      <c r="Z16" s="14" t="s">
        <v>575</v>
      </c>
      <c r="AA16" s="5" t="s">
        <v>41</v>
      </c>
      <c r="AB16" s="23">
        <v>46014.0</v>
      </c>
      <c r="AC16" s="11" t="s">
        <v>38</v>
      </c>
    </row>
    <row r="17" ht="22.5" customHeight="1">
      <c r="A17" s="5">
        <v>6.0</v>
      </c>
      <c r="B17" s="21">
        <v>2.0</v>
      </c>
      <c r="C17" s="5" t="s">
        <v>576</v>
      </c>
      <c r="D17" s="16" t="s">
        <v>30</v>
      </c>
      <c r="E17" s="7" t="str">
        <f>IFERROR(__xludf.DUMMYFUNCTION("IF(AND(F17 &gt; 0.3, F17 &lt; 0.5), SPARKLINE(F17,{""charttype"",""bar"";""color1"",""Gold"";""max"",1}),
IF(F17 = 1, SPARKLINE(F17,{""charttype"",""bar"";""color1"",""Lime"";""max"",1}),
IF(F17 &gt;= 0.5, SPARKLINE(F17,{""charttype"",""bar"";""color1"",""GreenYel"&amp;"low"";""max"",1}),
SPARKLINE(F17,{""charttype"",""bar"";""color1"",""DarkOrange"";""max"",1}))))"),"")</f>
        <v/>
      </c>
      <c r="F17" s="8">
        <f t="shared" si="1"/>
        <v>0.8</v>
      </c>
      <c r="G17" s="14" t="s">
        <v>577</v>
      </c>
      <c r="H17" s="5" t="s">
        <v>141</v>
      </c>
      <c r="I17" s="10">
        <v>45999.0</v>
      </c>
      <c r="J17" s="11" t="s">
        <v>33</v>
      </c>
      <c r="K17" s="5" t="s">
        <v>457</v>
      </c>
      <c r="L17" s="10">
        <v>46002.0</v>
      </c>
      <c r="M17" s="11" t="s">
        <v>38</v>
      </c>
      <c r="N17" s="5" t="s">
        <v>456</v>
      </c>
      <c r="O17" s="10"/>
      <c r="P17" s="11" t="s">
        <v>33</v>
      </c>
      <c r="Q17" s="5" t="s">
        <v>36</v>
      </c>
      <c r="R17" s="23">
        <v>46013.0</v>
      </c>
      <c r="S17" s="12"/>
      <c r="T17" s="5" t="s">
        <v>143</v>
      </c>
      <c r="U17" s="10"/>
      <c r="V17" s="20"/>
      <c r="W17" s="5" t="s">
        <v>144</v>
      </c>
      <c r="X17" s="23">
        <v>46013.0</v>
      </c>
      <c r="Y17" s="11" t="s">
        <v>33</v>
      </c>
      <c r="Z17" s="14" t="s">
        <v>578</v>
      </c>
      <c r="AA17" s="5" t="s">
        <v>41</v>
      </c>
      <c r="AB17" s="23">
        <v>46014.0</v>
      </c>
      <c r="AC17" s="11" t="s">
        <v>33</v>
      </c>
    </row>
    <row r="18" ht="22.5" customHeight="1">
      <c r="A18" s="5">
        <v>6.0</v>
      </c>
      <c r="B18" s="21">
        <v>2.0</v>
      </c>
      <c r="C18" s="5" t="s">
        <v>579</v>
      </c>
      <c r="D18" s="16" t="s">
        <v>49</v>
      </c>
      <c r="E18" s="7" t="str">
        <f>IFERROR(__xludf.DUMMYFUNCTION("IF(AND(F18 &gt; 0.3, F18 &lt; 0.5), SPARKLINE(F18,{""charttype"",""bar"";""color1"",""Gold"";""max"",1}),
IF(F18 = 1, SPARKLINE(F18,{""charttype"",""bar"";""color1"",""Lime"";""max"",1}),
IF(F18 &gt;= 0.5, SPARKLINE(F18,{""charttype"",""bar"";""color1"",""GreenYel"&amp;"low"";""max"",1}),
SPARKLINE(F18,{""charttype"",""bar"";""color1"",""DarkOrange"";""max"",1}))))"),"")</f>
        <v/>
      </c>
      <c r="F18" s="8">
        <f t="shared" si="1"/>
        <v>0.75</v>
      </c>
      <c r="G18" s="14" t="s">
        <v>580</v>
      </c>
      <c r="H18" s="5" t="s">
        <v>141</v>
      </c>
      <c r="I18" s="10">
        <v>45999.0</v>
      </c>
      <c r="J18" s="11" t="s">
        <v>33</v>
      </c>
      <c r="K18" s="5" t="s">
        <v>457</v>
      </c>
      <c r="L18" s="10">
        <v>46002.0</v>
      </c>
      <c r="M18" s="11" t="s">
        <v>38</v>
      </c>
      <c r="N18" s="5" t="s">
        <v>456</v>
      </c>
      <c r="O18" s="10"/>
      <c r="P18" s="20"/>
      <c r="Q18" s="5" t="s">
        <v>36</v>
      </c>
      <c r="R18" s="23">
        <v>46001.0</v>
      </c>
      <c r="S18" s="37"/>
      <c r="T18" s="5" t="s">
        <v>143</v>
      </c>
      <c r="U18" s="10"/>
      <c r="V18" s="20"/>
      <c r="W18" s="5" t="s">
        <v>51</v>
      </c>
      <c r="X18" s="23">
        <v>46001.0</v>
      </c>
      <c r="Y18" s="11" t="s">
        <v>33</v>
      </c>
      <c r="Z18" s="14" t="s">
        <v>581</v>
      </c>
      <c r="AA18" s="5" t="s">
        <v>41</v>
      </c>
      <c r="AB18" s="23">
        <v>46001.0</v>
      </c>
      <c r="AC18" s="11" t="s">
        <v>33</v>
      </c>
    </row>
    <row r="19" ht="22.5" customHeight="1">
      <c r="A19" s="5">
        <v>6.0</v>
      </c>
      <c r="B19" s="21">
        <v>2.0</v>
      </c>
      <c r="C19" s="5" t="s">
        <v>582</v>
      </c>
      <c r="D19" s="16" t="s">
        <v>49</v>
      </c>
      <c r="E19" s="7" t="str">
        <f>IFERROR(__xludf.DUMMYFUNCTION("IF(AND(F19 &gt; 0.3, F19 &lt; 0.5), SPARKLINE(F19,{""charttype"",""bar"";""color1"",""Gold"";""max"",1}),
IF(F19 = 1, SPARKLINE(F19,{""charttype"",""bar"";""color1"",""Lime"";""max"",1}),
IF(F19 &gt;= 0.5, SPARKLINE(F19,{""charttype"",""bar"";""color1"",""GreenYel"&amp;"low"";""max"",1}),
SPARKLINE(F19,{""charttype"",""bar"";""color1"",""DarkOrange"";""max"",1}))))"),"")</f>
        <v/>
      </c>
      <c r="F19" s="8">
        <f t="shared" si="1"/>
        <v>0.75</v>
      </c>
      <c r="G19" s="14" t="s">
        <v>583</v>
      </c>
      <c r="H19" s="5" t="s">
        <v>141</v>
      </c>
      <c r="I19" s="10">
        <v>45999.0</v>
      </c>
      <c r="J19" s="11" t="s">
        <v>33</v>
      </c>
      <c r="K19" s="5" t="s">
        <v>457</v>
      </c>
      <c r="L19" s="10">
        <v>46002.0</v>
      </c>
      <c r="M19" s="11" t="s">
        <v>38</v>
      </c>
      <c r="N19" s="5" t="s">
        <v>456</v>
      </c>
      <c r="O19" s="10"/>
      <c r="P19" s="20"/>
      <c r="Q19" s="5" t="s">
        <v>36</v>
      </c>
      <c r="R19" s="23">
        <v>46001.0</v>
      </c>
      <c r="S19" s="37"/>
      <c r="T19" s="5" t="s">
        <v>143</v>
      </c>
      <c r="U19" s="10"/>
      <c r="V19" s="20"/>
      <c r="W19" s="5" t="s">
        <v>51</v>
      </c>
      <c r="X19" s="23">
        <v>46001.0</v>
      </c>
      <c r="Y19" s="11" t="s">
        <v>33</v>
      </c>
      <c r="Z19" s="14" t="s">
        <v>584</v>
      </c>
      <c r="AA19" s="5" t="s">
        <v>41</v>
      </c>
      <c r="AB19" s="23">
        <v>46001.0</v>
      </c>
      <c r="AC19" s="11" t="s">
        <v>33</v>
      </c>
    </row>
    <row r="20" ht="22.5" customHeight="1">
      <c r="A20" s="5">
        <v>6.0</v>
      </c>
      <c r="B20" s="21">
        <v>2.0</v>
      </c>
      <c r="C20" s="5" t="s">
        <v>585</v>
      </c>
      <c r="D20" s="16" t="s">
        <v>49</v>
      </c>
      <c r="E20" s="7" t="str">
        <f>IFERROR(__xludf.DUMMYFUNCTION("IF(AND(F20 &gt; 0.3, F20 &lt; 0.5), SPARKLINE(F20,{""charttype"",""bar"";""color1"",""Gold"";""max"",1}),
IF(F20 = 1, SPARKLINE(F20,{""charttype"",""bar"";""color1"",""Lime"";""max"",1}),
IF(F20 &gt;= 0.5, SPARKLINE(F20,{""charttype"",""bar"";""color1"",""GreenYel"&amp;"low"";""max"",1}),
SPARKLINE(F20,{""charttype"",""bar"";""color1"",""DarkOrange"";""max"",1}))))"),"")</f>
        <v/>
      </c>
      <c r="F20" s="8">
        <f t="shared" si="1"/>
        <v>0.75</v>
      </c>
      <c r="G20" s="14" t="s">
        <v>586</v>
      </c>
      <c r="H20" s="5" t="s">
        <v>141</v>
      </c>
      <c r="I20" s="10">
        <v>45999.0</v>
      </c>
      <c r="J20" s="11" t="s">
        <v>33</v>
      </c>
      <c r="K20" s="5" t="s">
        <v>457</v>
      </c>
      <c r="L20" s="10">
        <v>46002.0</v>
      </c>
      <c r="M20" s="11" t="s">
        <v>38</v>
      </c>
      <c r="N20" s="5" t="s">
        <v>456</v>
      </c>
      <c r="O20" s="10"/>
      <c r="P20" s="20"/>
      <c r="Q20" s="5" t="s">
        <v>36</v>
      </c>
      <c r="R20" s="23">
        <v>46002.0</v>
      </c>
      <c r="S20" s="37"/>
      <c r="T20" s="5" t="s">
        <v>143</v>
      </c>
      <c r="U20" s="10"/>
      <c r="V20" s="20"/>
      <c r="W20" s="5" t="s">
        <v>51</v>
      </c>
      <c r="X20" s="23">
        <v>46002.0</v>
      </c>
      <c r="Y20" s="11" t="s">
        <v>33</v>
      </c>
      <c r="Z20" s="14" t="s">
        <v>587</v>
      </c>
      <c r="AA20" s="5" t="s">
        <v>41</v>
      </c>
      <c r="AB20" s="23">
        <v>46002.0</v>
      </c>
      <c r="AC20" s="11" t="s">
        <v>33</v>
      </c>
    </row>
    <row r="21" ht="22.5" customHeight="1">
      <c r="A21" s="5">
        <v>6.0</v>
      </c>
      <c r="B21" s="21">
        <v>2.0</v>
      </c>
      <c r="C21" s="5" t="s">
        <v>588</v>
      </c>
      <c r="D21" s="16" t="s">
        <v>60</v>
      </c>
      <c r="E21" s="7" t="str">
        <f>IFERROR(__xludf.DUMMYFUNCTION("IF(AND(F21 &gt; 0.3, F21 &lt; 0.5), SPARKLINE(F21,{""charttype"",""bar"";""color1"",""Gold"";""max"",1}),
IF(F21 = 1, SPARKLINE(F21,{""charttype"",""bar"";""color1"",""Lime"";""max"",1}),
IF(F21 &gt;= 0.5, SPARKLINE(F21,{""charttype"",""bar"";""color1"",""GreenYel"&amp;"low"";""max"",1}),
SPARKLINE(F21,{""charttype"",""bar"";""color1"",""DarkOrange"";""max"",1}))))"),"")</f>
        <v/>
      </c>
      <c r="F21" s="8">
        <f t="shared" si="1"/>
        <v>0.75</v>
      </c>
      <c r="G21" s="14" t="s">
        <v>589</v>
      </c>
      <c r="H21" s="5" t="s">
        <v>141</v>
      </c>
      <c r="I21" s="10">
        <v>45999.0</v>
      </c>
      <c r="J21" s="11" t="s">
        <v>33</v>
      </c>
      <c r="K21" s="5" t="s">
        <v>457</v>
      </c>
      <c r="L21" s="10">
        <v>46002.0</v>
      </c>
      <c r="M21" s="11" t="s">
        <v>38</v>
      </c>
      <c r="N21" s="5" t="s">
        <v>456</v>
      </c>
      <c r="O21" s="10"/>
      <c r="P21" s="20"/>
      <c r="Q21" s="5" t="s">
        <v>36</v>
      </c>
      <c r="R21" s="23">
        <v>45995.0</v>
      </c>
      <c r="S21" s="37"/>
      <c r="T21" s="5" t="s">
        <v>143</v>
      </c>
      <c r="U21" s="10"/>
      <c r="V21" s="20"/>
      <c r="W21" s="5" t="s">
        <v>51</v>
      </c>
      <c r="X21" s="23">
        <v>45995.0</v>
      </c>
      <c r="Y21" s="11" t="s">
        <v>33</v>
      </c>
      <c r="Z21" s="14" t="s">
        <v>590</v>
      </c>
      <c r="AA21" s="5" t="s">
        <v>41</v>
      </c>
      <c r="AB21" s="23">
        <v>45996.0</v>
      </c>
      <c r="AC21" s="11" t="s">
        <v>33</v>
      </c>
    </row>
    <row r="22" ht="22.5" customHeight="1">
      <c r="A22" s="5">
        <v>6.0</v>
      </c>
      <c r="B22" s="21">
        <v>2.0</v>
      </c>
      <c r="C22" s="5" t="s">
        <v>591</v>
      </c>
      <c r="D22" s="16" t="s">
        <v>64</v>
      </c>
      <c r="E22" s="7" t="str">
        <f>IFERROR(__xludf.DUMMYFUNCTION("IF(AND(F22 &gt; 0.3, F22 &lt; 0.5), SPARKLINE(F22,{""charttype"",""bar"";""color1"",""Gold"";""max"",1}),
IF(F22 = 1, SPARKLINE(F22,{""charttype"",""bar"";""color1"",""Lime"";""max"",1}),
IF(F22 &gt;= 0.5, SPARKLINE(F22,{""charttype"",""bar"";""color1"",""GreenYel"&amp;"low"";""max"",1}),
SPARKLINE(F22,{""charttype"",""bar"";""color1"",""DarkOrange"";""max"",1}))))"),"")</f>
        <v/>
      </c>
      <c r="F22" s="8">
        <f t="shared" si="1"/>
        <v>0.75</v>
      </c>
      <c r="G22" s="14" t="s">
        <v>592</v>
      </c>
      <c r="H22" s="5" t="s">
        <v>141</v>
      </c>
      <c r="I22" s="10">
        <v>45999.0</v>
      </c>
      <c r="J22" s="11" t="s">
        <v>33</v>
      </c>
      <c r="K22" s="5" t="s">
        <v>457</v>
      </c>
      <c r="L22" s="10">
        <v>46002.0</v>
      </c>
      <c r="M22" s="11" t="s">
        <v>38</v>
      </c>
      <c r="N22" s="5" t="s">
        <v>456</v>
      </c>
      <c r="O22" s="10"/>
      <c r="P22" s="20"/>
      <c r="Q22" s="5" t="s">
        <v>36</v>
      </c>
      <c r="R22" s="23">
        <v>45999.0</v>
      </c>
      <c r="S22" s="37"/>
      <c r="T22" s="5" t="s">
        <v>143</v>
      </c>
      <c r="U22" s="10"/>
      <c r="V22" s="20"/>
      <c r="W22" s="5" t="s">
        <v>51</v>
      </c>
      <c r="X22" s="23">
        <v>45999.0</v>
      </c>
      <c r="Y22" s="11" t="s">
        <v>33</v>
      </c>
      <c r="Z22" s="14" t="s">
        <v>593</v>
      </c>
      <c r="AA22" s="5" t="s">
        <v>41</v>
      </c>
      <c r="AB22" s="23">
        <v>46000.0</v>
      </c>
      <c r="AC22" s="11" t="s">
        <v>33</v>
      </c>
    </row>
    <row r="23" ht="22.5" customHeight="1">
      <c r="A23" s="5">
        <v>6.0</v>
      </c>
      <c r="B23" s="21">
        <v>2.0</v>
      </c>
      <c r="C23" s="5" t="s">
        <v>594</v>
      </c>
      <c r="D23" s="16" t="s">
        <v>169</v>
      </c>
      <c r="E23" s="7" t="str">
        <f>IFERROR(__xludf.DUMMYFUNCTION("IF(AND(F23 &gt; 0.3, F23 &lt; 0.5), SPARKLINE(F23,{""charttype"",""bar"";""color1"",""Gold"";""max"",1}),
IF(F23 = 1, SPARKLINE(F23,{""charttype"",""bar"";""color1"",""Lime"";""max"",1}),
IF(F23 &gt;= 0.5, SPARKLINE(F23,{""charttype"",""bar"";""color1"",""GreenYel"&amp;"low"";""max"",1}),
SPARKLINE(F23,{""charttype"",""bar"";""color1"",""DarkOrange"";""max"",1}))))"),"")</f>
        <v/>
      </c>
      <c r="F23" s="8">
        <f t="shared" si="1"/>
        <v>0.8</v>
      </c>
      <c r="G23" s="19"/>
      <c r="H23" s="5" t="s">
        <v>141</v>
      </c>
      <c r="I23" s="10">
        <v>45999.0</v>
      </c>
      <c r="J23" s="11" t="s">
        <v>33</v>
      </c>
      <c r="K23" s="5" t="s">
        <v>457</v>
      </c>
      <c r="L23" s="10">
        <v>46002.0</v>
      </c>
      <c r="M23" s="11" t="s">
        <v>38</v>
      </c>
      <c r="N23" s="5" t="s">
        <v>456</v>
      </c>
      <c r="O23" s="10"/>
      <c r="P23" s="11" t="s">
        <v>33</v>
      </c>
      <c r="Q23" s="5" t="s">
        <v>36</v>
      </c>
      <c r="R23" s="23">
        <v>46013.0</v>
      </c>
      <c r="S23" s="12"/>
      <c r="T23" s="5" t="s">
        <v>143</v>
      </c>
      <c r="U23" s="10"/>
      <c r="V23" s="20"/>
      <c r="W23" s="5" t="s">
        <v>144</v>
      </c>
      <c r="X23" s="23">
        <v>46013.0</v>
      </c>
      <c r="Y23" s="11" t="s">
        <v>33</v>
      </c>
      <c r="Z23" s="14" t="s">
        <v>595</v>
      </c>
      <c r="AA23" s="5" t="s">
        <v>41</v>
      </c>
      <c r="AB23" s="23">
        <v>46014.0</v>
      </c>
      <c r="AC23" s="11" t="s">
        <v>33</v>
      </c>
    </row>
    <row r="24" ht="22.5" customHeight="1">
      <c r="A24" s="5">
        <v>6.0</v>
      </c>
      <c r="B24" s="21">
        <v>2.0</v>
      </c>
      <c r="C24" s="5" t="s">
        <v>596</v>
      </c>
      <c r="D24" s="16" t="s">
        <v>72</v>
      </c>
      <c r="E24" s="7" t="str">
        <f>IFERROR(__xludf.DUMMYFUNCTION("IF(AND(F24 &gt; 0.3, F24 &lt; 0.5), SPARKLINE(F24,{""charttype"",""bar"";""color1"",""Gold"";""max"",1}),
IF(F24 = 1, SPARKLINE(F24,{""charttype"",""bar"";""color1"",""Lime"";""max"",1}),
IF(F24 &gt;= 0.5, SPARKLINE(F24,{""charttype"",""bar"";""color1"",""GreenYel"&amp;"low"";""max"",1}),
SPARKLINE(F24,{""charttype"",""bar"";""color1"",""DarkOrange"";""max"",1}))))"),"")</f>
        <v/>
      </c>
      <c r="F24" s="8">
        <f t="shared" si="1"/>
        <v>0.75</v>
      </c>
      <c r="G24" s="14" t="s">
        <v>597</v>
      </c>
      <c r="H24" s="5" t="s">
        <v>141</v>
      </c>
      <c r="I24" s="10">
        <v>45999.0</v>
      </c>
      <c r="J24" s="11" t="s">
        <v>33</v>
      </c>
      <c r="K24" s="5" t="s">
        <v>457</v>
      </c>
      <c r="L24" s="10">
        <v>46002.0</v>
      </c>
      <c r="M24" s="11" t="s">
        <v>38</v>
      </c>
      <c r="N24" s="5" t="s">
        <v>456</v>
      </c>
      <c r="O24" s="10"/>
      <c r="P24" s="20"/>
      <c r="Q24" s="5" t="s">
        <v>36</v>
      </c>
      <c r="R24" s="23">
        <v>45995.0</v>
      </c>
      <c r="S24" s="37"/>
      <c r="T24" s="5" t="s">
        <v>143</v>
      </c>
      <c r="U24" s="10"/>
      <c r="V24" s="20"/>
      <c r="W24" s="5" t="s">
        <v>51</v>
      </c>
      <c r="X24" s="23">
        <v>45995.0</v>
      </c>
      <c r="Y24" s="11" t="s">
        <v>33</v>
      </c>
      <c r="Z24" s="14" t="s">
        <v>598</v>
      </c>
      <c r="AA24" s="5" t="s">
        <v>41</v>
      </c>
      <c r="AB24" s="23">
        <v>45996.0</v>
      </c>
      <c r="AC24" s="11" t="s">
        <v>33</v>
      </c>
    </row>
    <row r="25" ht="22.5" customHeight="1">
      <c r="A25" s="5">
        <v>6.0</v>
      </c>
      <c r="B25" s="21">
        <v>2.0</v>
      </c>
      <c r="C25" s="5" t="s">
        <v>599</v>
      </c>
      <c r="D25" s="16" t="s">
        <v>68</v>
      </c>
      <c r="E25" s="7" t="str">
        <f>IFERROR(__xludf.DUMMYFUNCTION("IF(AND(F25 &gt; 0.3, F25 &lt; 0.5), SPARKLINE(F25,{""charttype"",""bar"";""color1"",""Gold"";""max"",1}),
IF(F25 = 1, SPARKLINE(F25,{""charttype"",""bar"";""color1"",""Lime"";""max"",1}),
IF(F25 &gt;= 0.5, SPARKLINE(F25,{""charttype"",""bar"";""color1"",""GreenYel"&amp;"low"";""max"",1}),
SPARKLINE(F25,{""charttype"",""bar"";""color1"",""DarkOrange"";""max"",1}))))"),"")</f>
        <v/>
      </c>
      <c r="F25" s="8">
        <f t="shared" si="1"/>
        <v>0.75</v>
      </c>
      <c r="G25" s="14" t="s">
        <v>600</v>
      </c>
      <c r="H25" s="5" t="s">
        <v>141</v>
      </c>
      <c r="I25" s="10">
        <v>45999.0</v>
      </c>
      <c r="J25" s="11" t="s">
        <v>33</v>
      </c>
      <c r="K25" s="5" t="s">
        <v>457</v>
      </c>
      <c r="L25" s="10">
        <v>46002.0</v>
      </c>
      <c r="M25" s="11" t="s">
        <v>38</v>
      </c>
      <c r="N25" s="5" t="s">
        <v>456</v>
      </c>
      <c r="O25" s="10"/>
      <c r="P25" s="20"/>
      <c r="Q25" s="5" t="s">
        <v>36</v>
      </c>
      <c r="R25" s="23">
        <v>46015.0</v>
      </c>
      <c r="S25" s="37"/>
      <c r="T25" s="5" t="s">
        <v>143</v>
      </c>
      <c r="U25" s="10"/>
      <c r="V25" s="20"/>
      <c r="W25" s="5" t="s">
        <v>51</v>
      </c>
      <c r="X25" s="23">
        <v>46015.0</v>
      </c>
      <c r="Y25" s="11" t="s">
        <v>33</v>
      </c>
      <c r="Z25" s="14" t="s">
        <v>601</v>
      </c>
      <c r="AA25" s="5" t="s">
        <v>41</v>
      </c>
      <c r="AB25" s="23">
        <v>46015.0</v>
      </c>
      <c r="AC25" s="11" t="s">
        <v>33</v>
      </c>
    </row>
    <row r="26" ht="22.5" customHeight="1">
      <c r="A26" s="5">
        <v>6.0</v>
      </c>
      <c r="B26" s="21">
        <v>3.0</v>
      </c>
      <c r="C26" s="5" t="s">
        <v>602</v>
      </c>
      <c r="D26" s="16" t="s">
        <v>30</v>
      </c>
      <c r="E26" s="7" t="str">
        <f>IFERROR(__xludf.DUMMYFUNCTION("IF(AND(F26 &gt; 0.3, F26 &lt; 0.5), SPARKLINE(F26,{""charttype"",""bar"";""color1"",""Gold"";""max"",1}),
IF(F26 = 1, SPARKLINE(F26,{""charttype"",""bar"";""color1"",""Lime"";""max"",1}),
IF(F26 &gt;= 0.5, SPARKLINE(F26,{""charttype"",""bar"";""color1"",""GreenYel"&amp;"low"";""max"",1}),
SPARKLINE(F26,{""charttype"",""bar"";""color1"",""DarkOrange"";""max"",1}))))"),"")</f>
        <v/>
      </c>
      <c r="F26" s="8">
        <f t="shared" si="1"/>
        <v>0.8</v>
      </c>
      <c r="G26" s="14" t="s">
        <v>603</v>
      </c>
      <c r="H26" s="5" t="s">
        <v>141</v>
      </c>
      <c r="I26" s="10">
        <v>45999.0</v>
      </c>
      <c r="J26" s="11" t="s">
        <v>33</v>
      </c>
      <c r="K26" s="5" t="s">
        <v>457</v>
      </c>
      <c r="L26" s="10">
        <v>46002.0</v>
      </c>
      <c r="M26" s="11" t="s">
        <v>38</v>
      </c>
      <c r="N26" s="5" t="s">
        <v>456</v>
      </c>
      <c r="O26" s="10"/>
      <c r="P26" s="11" t="s">
        <v>33</v>
      </c>
      <c r="Q26" s="5" t="s">
        <v>36</v>
      </c>
      <c r="R26" s="23">
        <v>46013.0</v>
      </c>
      <c r="S26" s="12"/>
      <c r="T26" s="5" t="s">
        <v>143</v>
      </c>
      <c r="U26" s="10"/>
      <c r="V26" s="20"/>
      <c r="W26" s="5" t="s">
        <v>144</v>
      </c>
      <c r="X26" s="23">
        <v>46013.0</v>
      </c>
      <c r="Y26" s="11" t="s">
        <v>33</v>
      </c>
      <c r="Z26" s="14" t="s">
        <v>604</v>
      </c>
      <c r="AA26" s="5" t="s">
        <v>41</v>
      </c>
      <c r="AB26" s="23">
        <v>46014.0</v>
      </c>
      <c r="AC26" s="11" t="s">
        <v>33</v>
      </c>
    </row>
    <row r="27" ht="22.5" customHeight="1">
      <c r="A27" s="5">
        <v>6.0</v>
      </c>
      <c r="B27" s="21">
        <v>3.0</v>
      </c>
      <c r="C27" s="5" t="s">
        <v>605</v>
      </c>
      <c r="D27" s="16" t="s">
        <v>30</v>
      </c>
      <c r="E27" s="7" t="str">
        <f>IFERROR(__xludf.DUMMYFUNCTION("IF(AND(F27 &gt; 0.3, F27 &lt; 0.5), SPARKLINE(F27,{""charttype"",""bar"";""color1"",""Gold"";""max"",1}),
IF(F27 = 1, SPARKLINE(F27,{""charttype"",""bar"";""color1"",""Lime"";""max"",1}),
IF(F27 &gt;= 0.5, SPARKLINE(F27,{""charttype"",""bar"";""color1"",""GreenYel"&amp;"low"";""max"",1}),
SPARKLINE(F27,{""charttype"",""bar"";""color1"",""DarkOrange"";""max"",1}))))"),"")</f>
        <v/>
      </c>
      <c r="F27" s="8">
        <f t="shared" si="1"/>
        <v>0.8</v>
      </c>
      <c r="G27" s="14" t="s">
        <v>606</v>
      </c>
      <c r="H27" s="5" t="s">
        <v>141</v>
      </c>
      <c r="I27" s="10">
        <v>45999.0</v>
      </c>
      <c r="J27" s="11" t="s">
        <v>33</v>
      </c>
      <c r="K27" s="5" t="s">
        <v>457</v>
      </c>
      <c r="L27" s="10">
        <v>46002.0</v>
      </c>
      <c r="M27" s="11" t="s">
        <v>38</v>
      </c>
      <c r="N27" s="5" t="s">
        <v>456</v>
      </c>
      <c r="O27" s="10"/>
      <c r="P27" s="11" t="s">
        <v>33</v>
      </c>
      <c r="Q27" s="5" t="s">
        <v>36</v>
      </c>
      <c r="R27" s="23">
        <v>46013.0</v>
      </c>
      <c r="S27" s="12"/>
      <c r="T27" s="5" t="s">
        <v>143</v>
      </c>
      <c r="U27" s="10"/>
      <c r="V27" s="20"/>
      <c r="W27" s="5" t="s">
        <v>144</v>
      </c>
      <c r="X27" s="23">
        <v>46013.0</v>
      </c>
      <c r="Y27" s="11" t="s">
        <v>33</v>
      </c>
      <c r="Z27" s="14" t="s">
        <v>607</v>
      </c>
      <c r="AA27" s="5" t="s">
        <v>41</v>
      </c>
      <c r="AB27" s="23">
        <v>46014.0</v>
      </c>
      <c r="AC27" s="11" t="s">
        <v>33</v>
      </c>
    </row>
    <row r="28" ht="22.5" customHeight="1">
      <c r="A28" s="5">
        <v>6.0</v>
      </c>
      <c r="B28" s="21">
        <v>3.0</v>
      </c>
      <c r="C28" s="5" t="s">
        <v>608</v>
      </c>
      <c r="D28" s="16" t="s">
        <v>30</v>
      </c>
      <c r="E28" s="7" t="str">
        <f>IFERROR(__xludf.DUMMYFUNCTION("IF(AND(F28 &gt; 0.3, F28 &lt; 0.5), SPARKLINE(F28,{""charttype"",""bar"";""color1"",""Gold"";""max"",1}),
IF(F28 = 1, SPARKLINE(F28,{""charttype"",""bar"";""color1"",""Lime"";""max"",1}),
IF(F28 &gt;= 0.5, SPARKLINE(F28,{""charttype"",""bar"";""color1"",""GreenYel"&amp;"low"";""max"",1}),
SPARKLINE(F28,{""charttype"",""bar"";""color1"",""DarkOrange"";""max"",1}))))"),"")</f>
        <v/>
      </c>
      <c r="F28" s="8">
        <f t="shared" si="1"/>
        <v>0.8</v>
      </c>
      <c r="G28" s="14" t="s">
        <v>609</v>
      </c>
      <c r="H28" s="5" t="s">
        <v>141</v>
      </c>
      <c r="I28" s="10">
        <v>45999.0</v>
      </c>
      <c r="J28" s="11" t="s">
        <v>33</v>
      </c>
      <c r="K28" s="5" t="s">
        <v>457</v>
      </c>
      <c r="L28" s="10">
        <v>46002.0</v>
      </c>
      <c r="M28" s="11" t="s">
        <v>38</v>
      </c>
      <c r="N28" s="5" t="s">
        <v>456</v>
      </c>
      <c r="O28" s="10"/>
      <c r="P28" s="11" t="s">
        <v>33</v>
      </c>
      <c r="Q28" s="5" t="s">
        <v>36</v>
      </c>
      <c r="R28" s="23">
        <v>46013.0</v>
      </c>
      <c r="S28" s="12"/>
      <c r="T28" s="5" t="s">
        <v>143</v>
      </c>
      <c r="U28" s="10"/>
      <c r="V28" s="20"/>
      <c r="W28" s="5" t="s">
        <v>144</v>
      </c>
      <c r="X28" s="23">
        <v>46013.0</v>
      </c>
      <c r="Y28" s="11" t="s">
        <v>33</v>
      </c>
      <c r="Z28" s="14" t="s">
        <v>610</v>
      </c>
      <c r="AA28" s="5" t="s">
        <v>41</v>
      </c>
      <c r="AB28" s="23">
        <v>46014.0</v>
      </c>
      <c r="AC28" s="11" t="s">
        <v>33</v>
      </c>
    </row>
    <row r="29" ht="22.5" customHeight="1">
      <c r="A29" s="5">
        <v>6.0</v>
      </c>
      <c r="B29" s="21">
        <v>3.0</v>
      </c>
      <c r="C29" s="5" t="s">
        <v>611</v>
      </c>
      <c r="D29" s="16" t="s">
        <v>49</v>
      </c>
      <c r="E29" s="7" t="str">
        <f>IFERROR(__xludf.DUMMYFUNCTION("IF(AND(F29 &gt; 0.3, F29 &lt; 0.5), SPARKLINE(F29,{""charttype"",""bar"";""color1"",""Gold"";""max"",1}),
IF(F29 = 1, SPARKLINE(F29,{""charttype"",""bar"";""color1"",""Lime"";""max"",1}),
IF(F29 &gt;= 0.5, SPARKLINE(F29,{""charttype"",""bar"";""color1"",""GreenYel"&amp;"low"";""max"",1}),
SPARKLINE(F29,{""charttype"",""bar"";""color1"",""DarkOrange"";""max"",1}))))"),"")</f>
        <v/>
      </c>
      <c r="F29" s="8">
        <f t="shared" si="1"/>
        <v>0.75</v>
      </c>
      <c r="G29" s="14" t="s">
        <v>612</v>
      </c>
      <c r="H29" s="5" t="s">
        <v>141</v>
      </c>
      <c r="I29" s="10">
        <v>45999.0</v>
      </c>
      <c r="J29" s="11" t="s">
        <v>33</v>
      </c>
      <c r="K29" s="5" t="s">
        <v>457</v>
      </c>
      <c r="L29" s="10">
        <v>46002.0</v>
      </c>
      <c r="M29" s="11" t="s">
        <v>38</v>
      </c>
      <c r="N29" s="5" t="s">
        <v>456</v>
      </c>
      <c r="O29" s="10"/>
      <c r="P29" s="20"/>
      <c r="Q29" s="5" t="s">
        <v>36</v>
      </c>
      <c r="R29" s="23">
        <v>46002.0</v>
      </c>
      <c r="S29" s="37"/>
      <c r="T29" s="5" t="s">
        <v>143</v>
      </c>
      <c r="U29" s="10"/>
      <c r="V29" s="20"/>
      <c r="W29" s="5" t="s">
        <v>51</v>
      </c>
      <c r="X29" s="23">
        <v>46002.0</v>
      </c>
      <c r="Y29" s="11" t="s">
        <v>33</v>
      </c>
      <c r="Z29" s="14" t="s">
        <v>613</v>
      </c>
      <c r="AA29" s="5" t="s">
        <v>41</v>
      </c>
      <c r="AB29" s="23">
        <v>46002.0</v>
      </c>
      <c r="AC29" s="11" t="s">
        <v>33</v>
      </c>
    </row>
    <row r="30" ht="22.5" customHeight="1">
      <c r="A30" s="5">
        <v>6.0</v>
      </c>
      <c r="B30" s="21">
        <v>3.0</v>
      </c>
      <c r="C30" s="5" t="s">
        <v>614</v>
      </c>
      <c r="D30" s="16" t="s">
        <v>49</v>
      </c>
      <c r="E30" s="7" t="str">
        <f>IFERROR(__xludf.DUMMYFUNCTION("IF(AND(F30 &gt; 0.3, F30 &lt; 0.5), SPARKLINE(F30,{""charttype"",""bar"";""color1"",""Gold"";""max"",1}),
IF(F30 = 1, SPARKLINE(F30,{""charttype"",""bar"";""color1"",""Lime"";""max"",1}),
IF(F30 &gt;= 0.5, SPARKLINE(F30,{""charttype"",""bar"";""color1"",""GreenYel"&amp;"low"";""max"",1}),
SPARKLINE(F30,{""charttype"",""bar"";""color1"",""DarkOrange"";""max"",1}))))"),"")</f>
        <v/>
      </c>
      <c r="F30" s="8">
        <f t="shared" si="1"/>
        <v>0.75</v>
      </c>
      <c r="G30" s="14" t="s">
        <v>615</v>
      </c>
      <c r="H30" s="5" t="s">
        <v>141</v>
      </c>
      <c r="I30" s="10">
        <v>45999.0</v>
      </c>
      <c r="J30" s="11" t="s">
        <v>33</v>
      </c>
      <c r="K30" s="5" t="s">
        <v>457</v>
      </c>
      <c r="L30" s="10">
        <v>46002.0</v>
      </c>
      <c r="M30" s="11" t="s">
        <v>38</v>
      </c>
      <c r="N30" s="5" t="s">
        <v>456</v>
      </c>
      <c r="O30" s="10"/>
      <c r="P30" s="20"/>
      <c r="Q30" s="5" t="s">
        <v>36</v>
      </c>
      <c r="R30" s="23">
        <v>46003.0</v>
      </c>
      <c r="S30" s="37"/>
      <c r="T30" s="5" t="s">
        <v>143</v>
      </c>
      <c r="U30" s="10"/>
      <c r="V30" s="20"/>
      <c r="W30" s="5" t="s">
        <v>51</v>
      </c>
      <c r="X30" s="23">
        <v>46003.0</v>
      </c>
      <c r="Y30" s="11" t="s">
        <v>33</v>
      </c>
      <c r="Z30" s="14" t="s">
        <v>616</v>
      </c>
      <c r="AA30" s="5" t="s">
        <v>41</v>
      </c>
      <c r="AB30" s="23">
        <v>46003.0</v>
      </c>
      <c r="AC30" s="11" t="s">
        <v>33</v>
      </c>
    </row>
    <row r="31" ht="22.5" customHeight="1">
      <c r="A31" s="5">
        <v>6.0</v>
      </c>
      <c r="B31" s="21">
        <v>3.0</v>
      </c>
      <c r="C31" s="5" t="s">
        <v>617</v>
      </c>
      <c r="D31" s="16" t="s">
        <v>49</v>
      </c>
      <c r="E31" s="7" t="str">
        <f>IFERROR(__xludf.DUMMYFUNCTION("IF(AND(F31 &gt; 0.3, F31 &lt; 0.5), SPARKLINE(F31,{""charttype"",""bar"";""color1"",""Gold"";""max"",1}),
IF(F31 = 1, SPARKLINE(F31,{""charttype"",""bar"";""color1"",""Lime"";""max"",1}),
IF(F31 &gt;= 0.5, SPARKLINE(F31,{""charttype"",""bar"";""color1"",""GreenYel"&amp;"low"";""max"",1}),
SPARKLINE(F31,{""charttype"",""bar"";""color1"",""DarkOrange"";""max"",1}))))"),"")</f>
        <v/>
      </c>
      <c r="F31" s="8">
        <f t="shared" si="1"/>
        <v>0.75</v>
      </c>
      <c r="G31" s="14" t="s">
        <v>618</v>
      </c>
      <c r="H31" s="5" t="s">
        <v>141</v>
      </c>
      <c r="I31" s="10">
        <v>45999.0</v>
      </c>
      <c r="J31" s="11" t="s">
        <v>33</v>
      </c>
      <c r="K31" s="5" t="s">
        <v>457</v>
      </c>
      <c r="L31" s="10">
        <v>46002.0</v>
      </c>
      <c r="M31" s="11" t="s">
        <v>38</v>
      </c>
      <c r="N31" s="5" t="s">
        <v>456</v>
      </c>
      <c r="O31" s="10"/>
      <c r="P31" s="20"/>
      <c r="Q31" s="5" t="s">
        <v>36</v>
      </c>
      <c r="R31" s="23">
        <v>46003.0</v>
      </c>
      <c r="S31" s="37"/>
      <c r="T31" s="5" t="s">
        <v>143</v>
      </c>
      <c r="U31" s="10"/>
      <c r="V31" s="20"/>
      <c r="W31" s="5" t="s">
        <v>51</v>
      </c>
      <c r="X31" s="23">
        <v>46003.0</v>
      </c>
      <c r="Y31" s="11" t="s">
        <v>33</v>
      </c>
      <c r="Z31" s="14" t="s">
        <v>619</v>
      </c>
      <c r="AA31" s="5" t="s">
        <v>41</v>
      </c>
      <c r="AB31" s="23">
        <v>46003.0</v>
      </c>
      <c r="AC31" s="11" t="s">
        <v>33</v>
      </c>
    </row>
    <row r="32" ht="22.5" customHeight="1">
      <c r="A32" s="5">
        <v>6.0</v>
      </c>
      <c r="B32" s="21">
        <v>3.0</v>
      </c>
      <c r="C32" s="5" t="s">
        <v>620</v>
      </c>
      <c r="D32" s="16" t="s">
        <v>60</v>
      </c>
      <c r="E32" s="7" t="str">
        <f>IFERROR(__xludf.DUMMYFUNCTION("IF(AND(F32 &gt; 0.3, F32 &lt; 0.5), SPARKLINE(F32,{""charttype"",""bar"";""color1"",""Gold"";""max"",1}),
IF(F32 = 1, SPARKLINE(F32,{""charttype"",""bar"";""color1"",""Lime"";""max"",1}),
IF(F32 &gt;= 0.5, SPARKLINE(F32,{""charttype"",""bar"";""color1"",""GreenYel"&amp;"low"";""max"",1}),
SPARKLINE(F32,{""charttype"",""bar"";""color1"",""DarkOrange"";""max"",1}))))"),"")</f>
        <v/>
      </c>
      <c r="F32" s="8">
        <f t="shared" si="1"/>
        <v>0.75</v>
      </c>
      <c r="G32" s="31" t="s">
        <v>621</v>
      </c>
      <c r="H32" s="5" t="s">
        <v>141</v>
      </c>
      <c r="I32" s="10">
        <v>45999.0</v>
      </c>
      <c r="J32" s="11" t="s">
        <v>33</v>
      </c>
      <c r="K32" s="5" t="s">
        <v>457</v>
      </c>
      <c r="L32" s="10">
        <v>46002.0</v>
      </c>
      <c r="M32" s="11" t="s">
        <v>38</v>
      </c>
      <c r="N32" s="5" t="s">
        <v>456</v>
      </c>
      <c r="O32" s="10"/>
      <c r="P32" s="20"/>
      <c r="Q32" s="5" t="s">
        <v>36</v>
      </c>
      <c r="R32" s="23">
        <v>45995.0</v>
      </c>
      <c r="S32" s="37"/>
      <c r="T32" s="5" t="s">
        <v>143</v>
      </c>
      <c r="U32" s="10"/>
      <c r="V32" s="20"/>
      <c r="W32" s="5" t="s">
        <v>51</v>
      </c>
      <c r="X32" s="23">
        <v>45995.0</v>
      </c>
      <c r="Y32" s="11" t="s">
        <v>33</v>
      </c>
      <c r="Z32" s="14" t="s">
        <v>622</v>
      </c>
      <c r="AA32" s="5" t="s">
        <v>41</v>
      </c>
      <c r="AB32" s="23">
        <v>45996.0</v>
      </c>
      <c r="AC32" s="11" t="s">
        <v>33</v>
      </c>
    </row>
    <row r="33" ht="22.5" customHeight="1">
      <c r="A33" s="5">
        <v>6.0</v>
      </c>
      <c r="B33" s="21">
        <v>3.0</v>
      </c>
      <c r="C33" s="5" t="s">
        <v>623</v>
      </c>
      <c r="D33" s="16" t="s">
        <v>64</v>
      </c>
      <c r="E33" s="7" t="str">
        <f>IFERROR(__xludf.DUMMYFUNCTION("IF(AND(F33 &gt; 0.3, F33 &lt; 0.5), SPARKLINE(F33,{""charttype"",""bar"";""color1"",""Gold"";""max"",1}),
IF(F33 = 1, SPARKLINE(F33,{""charttype"",""bar"";""color1"",""Lime"";""max"",1}),
IF(F33 &gt;= 0.5, SPARKLINE(F33,{""charttype"",""bar"";""color1"",""GreenYel"&amp;"low"";""max"",1}),
SPARKLINE(F33,{""charttype"",""bar"";""color1"",""DarkOrange"";""max"",1}))))"),"")</f>
        <v/>
      </c>
      <c r="F33" s="8">
        <f t="shared" si="1"/>
        <v>0.75</v>
      </c>
      <c r="G33" s="31" t="s">
        <v>624</v>
      </c>
      <c r="H33" s="5" t="s">
        <v>141</v>
      </c>
      <c r="I33" s="10">
        <v>45999.0</v>
      </c>
      <c r="J33" s="11" t="s">
        <v>33</v>
      </c>
      <c r="K33" s="5" t="s">
        <v>457</v>
      </c>
      <c r="L33" s="10">
        <v>46002.0</v>
      </c>
      <c r="M33" s="11" t="s">
        <v>38</v>
      </c>
      <c r="N33" s="5" t="s">
        <v>456</v>
      </c>
      <c r="O33" s="10"/>
      <c r="P33" s="20"/>
      <c r="Q33" s="5" t="s">
        <v>36</v>
      </c>
      <c r="R33" s="23">
        <v>45999.0</v>
      </c>
      <c r="S33" s="37"/>
      <c r="T33" s="5" t="s">
        <v>143</v>
      </c>
      <c r="U33" s="10"/>
      <c r="V33" s="20"/>
      <c r="W33" s="5" t="s">
        <v>51</v>
      </c>
      <c r="X33" s="23">
        <v>45999.0</v>
      </c>
      <c r="Y33" s="11" t="s">
        <v>33</v>
      </c>
      <c r="Z33" s="14" t="s">
        <v>625</v>
      </c>
      <c r="AA33" s="5" t="s">
        <v>41</v>
      </c>
      <c r="AB33" s="23">
        <v>46000.0</v>
      </c>
      <c r="AC33" s="11" t="s">
        <v>33</v>
      </c>
    </row>
    <row r="34" ht="22.5" customHeight="1">
      <c r="A34" s="5">
        <v>6.0</v>
      </c>
      <c r="B34" s="21">
        <v>3.0</v>
      </c>
      <c r="C34" s="5" t="s">
        <v>626</v>
      </c>
      <c r="D34" s="16" t="s">
        <v>169</v>
      </c>
      <c r="E34" s="7" t="str">
        <f>IFERROR(__xludf.DUMMYFUNCTION("IF(AND(F34 &gt; 0.3, F34 &lt; 0.5), SPARKLINE(F34,{""charttype"",""bar"";""color1"",""Gold"";""max"",1}),
IF(F34 = 1, SPARKLINE(F34,{""charttype"",""bar"";""color1"",""Lime"";""max"",1}),
IF(F34 &gt;= 0.5, SPARKLINE(F34,{""charttype"",""bar"";""color1"",""GreenYel"&amp;"low"";""max"",1}),
SPARKLINE(F34,{""charttype"",""bar"";""color1"",""DarkOrange"";""max"",1}))))"),"")</f>
        <v/>
      </c>
      <c r="F34" s="8">
        <f t="shared" si="1"/>
        <v>0.8</v>
      </c>
      <c r="G34" s="19"/>
      <c r="H34" s="5" t="s">
        <v>141</v>
      </c>
      <c r="I34" s="10"/>
      <c r="J34" s="11" t="s">
        <v>33</v>
      </c>
      <c r="K34" s="5" t="s">
        <v>457</v>
      </c>
      <c r="L34" s="10">
        <v>46002.0</v>
      </c>
      <c r="M34" s="11" t="s">
        <v>38</v>
      </c>
      <c r="N34" s="5" t="s">
        <v>456</v>
      </c>
      <c r="O34" s="10"/>
      <c r="P34" s="11" t="s">
        <v>33</v>
      </c>
      <c r="Q34" s="5" t="s">
        <v>36</v>
      </c>
      <c r="R34" s="23">
        <v>46013.0</v>
      </c>
      <c r="S34" s="12"/>
      <c r="T34" s="5" t="s">
        <v>143</v>
      </c>
      <c r="U34" s="10"/>
      <c r="V34" s="20"/>
      <c r="W34" s="5" t="s">
        <v>144</v>
      </c>
      <c r="X34" s="23">
        <v>46013.0</v>
      </c>
      <c r="Y34" s="11" t="s">
        <v>33</v>
      </c>
      <c r="Z34" s="14" t="s">
        <v>627</v>
      </c>
      <c r="AA34" s="5" t="s">
        <v>41</v>
      </c>
      <c r="AB34" s="23">
        <v>46014.0</v>
      </c>
      <c r="AC34" s="11" t="s">
        <v>33</v>
      </c>
    </row>
    <row r="35" ht="22.5" customHeight="1">
      <c r="A35" s="5">
        <v>6.0</v>
      </c>
      <c r="B35" s="21">
        <v>3.0</v>
      </c>
      <c r="C35" s="5" t="s">
        <v>628</v>
      </c>
      <c r="D35" s="16" t="s">
        <v>72</v>
      </c>
      <c r="E35" s="7" t="str">
        <f>IFERROR(__xludf.DUMMYFUNCTION("IF(AND(F35 &gt; 0.3, F35 &lt; 0.5), SPARKLINE(F35,{""charttype"",""bar"";""color1"",""Gold"";""max"",1}),
IF(F35 = 1, SPARKLINE(F35,{""charttype"",""bar"";""color1"",""Lime"";""max"",1}),
IF(F35 &gt;= 0.5, SPARKLINE(F35,{""charttype"",""bar"";""color1"",""GreenYel"&amp;"low"";""max"",1}),
SPARKLINE(F35,{""charttype"",""bar"";""color1"",""DarkOrange"";""max"",1}))))"),"")</f>
        <v/>
      </c>
      <c r="F35" s="8">
        <f t="shared" si="1"/>
        <v>0.75</v>
      </c>
      <c r="G35" s="14" t="s">
        <v>629</v>
      </c>
      <c r="H35" s="5" t="s">
        <v>141</v>
      </c>
      <c r="I35" s="10">
        <v>45999.0</v>
      </c>
      <c r="J35" s="11" t="s">
        <v>33</v>
      </c>
      <c r="K35" s="5" t="s">
        <v>457</v>
      </c>
      <c r="L35" s="10">
        <v>46002.0</v>
      </c>
      <c r="M35" s="11" t="s">
        <v>38</v>
      </c>
      <c r="N35" s="5" t="s">
        <v>456</v>
      </c>
      <c r="O35" s="10"/>
      <c r="P35" s="20"/>
      <c r="Q35" s="5" t="s">
        <v>36</v>
      </c>
      <c r="R35" s="23">
        <v>45995.0</v>
      </c>
      <c r="S35" s="37"/>
      <c r="T35" s="5" t="s">
        <v>143</v>
      </c>
      <c r="U35" s="10"/>
      <c r="V35" s="20"/>
      <c r="W35" s="5" t="s">
        <v>51</v>
      </c>
      <c r="X35" s="23">
        <v>45995.0</v>
      </c>
      <c r="Y35" s="11" t="s">
        <v>33</v>
      </c>
      <c r="Z35" s="14" t="s">
        <v>630</v>
      </c>
      <c r="AA35" s="5" t="s">
        <v>41</v>
      </c>
      <c r="AB35" s="23">
        <v>45996.0</v>
      </c>
      <c r="AC35" s="11" t="s">
        <v>33</v>
      </c>
    </row>
    <row r="36" ht="22.5" customHeight="1">
      <c r="A36" s="5">
        <v>6.0</v>
      </c>
      <c r="B36" s="21">
        <v>3.0</v>
      </c>
      <c r="C36" s="5" t="s">
        <v>631</v>
      </c>
      <c r="D36" s="16" t="s">
        <v>68</v>
      </c>
      <c r="E36" s="7" t="str">
        <f>IFERROR(__xludf.DUMMYFUNCTION("IF(AND(F36 &gt; 0.3, F36 &lt; 0.5), SPARKLINE(F36,{""charttype"",""bar"";""color1"",""Gold"";""max"",1}),
IF(F36 = 1, SPARKLINE(F36,{""charttype"",""bar"";""color1"",""Lime"";""max"",1}),
IF(F36 &gt;= 0.5, SPARKLINE(F36,{""charttype"",""bar"";""color1"",""GreenYel"&amp;"low"";""max"",1}),
SPARKLINE(F36,{""charttype"",""bar"";""color1"",""DarkOrange"";""max"",1}))))"),"")</f>
        <v/>
      </c>
      <c r="F36" s="8">
        <f t="shared" si="1"/>
        <v>0.75</v>
      </c>
      <c r="G36" s="31" t="s">
        <v>632</v>
      </c>
      <c r="H36" s="5" t="s">
        <v>141</v>
      </c>
      <c r="I36" s="10">
        <v>45999.0</v>
      </c>
      <c r="J36" s="11" t="s">
        <v>33</v>
      </c>
      <c r="K36" s="5" t="s">
        <v>457</v>
      </c>
      <c r="L36" s="10">
        <v>46002.0</v>
      </c>
      <c r="M36" s="11" t="s">
        <v>38</v>
      </c>
      <c r="N36" s="5" t="s">
        <v>456</v>
      </c>
      <c r="O36" s="10"/>
      <c r="P36" s="20"/>
      <c r="Q36" s="5" t="s">
        <v>36</v>
      </c>
      <c r="R36" s="23">
        <v>46029.0</v>
      </c>
      <c r="S36" s="37"/>
      <c r="T36" s="5" t="s">
        <v>143</v>
      </c>
      <c r="U36" s="10"/>
      <c r="V36" s="20"/>
      <c r="W36" s="5" t="s">
        <v>51</v>
      </c>
      <c r="X36" s="23">
        <v>46029.0</v>
      </c>
      <c r="Y36" s="11" t="s">
        <v>33</v>
      </c>
      <c r="Z36" s="14" t="s">
        <v>633</v>
      </c>
      <c r="AA36" s="5" t="s">
        <v>41</v>
      </c>
      <c r="AB36" s="23">
        <v>46030.0</v>
      </c>
      <c r="AC36" s="11" t="s">
        <v>33</v>
      </c>
    </row>
    <row r="37" ht="22.5" customHeight="1">
      <c r="A37" s="5">
        <v>6.0</v>
      </c>
      <c r="B37" s="21">
        <v>4.0</v>
      </c>
      <c r="C37" s="5" t="s">
        <v>634</v>
      </c>
      <c r="D37" s="16" t="s">
        <v>30</v>
      </c>
      <c r="E37" s="7" t="str">
        <f>IFERROR(__xludf.DUMMYFUNCTION("IF(AND(F37 &gt; 0.3, F37 &lt; 0.5), SPARKLINE(F37,{""charttype"",""bar"";""color1"",""Gold"";""max"",1}),
IF(F37 = 1, SPARKLINE(F37,{""charttype"",""bar"";""color1"",""Lime"";""max"",1}),
IF(F37 &gt;= 0.5, SPARKLINE(F37,{""charttype"",""bar"";""color1"",""GreenYel"&amp;"low"";""max"",1}),
SPARKLINE(F37,{""charttype"",""bar"";""color1"",""DarkOrange"";""max"",1}))))"),"")</f>
        <v/>
      </c>
      <c r="F37" s="8">
        <f t="shared" si="1"/>
        <v>0.8</v>
      </c>
      <c r="G37" s="14" t="s">
        <v>635</v>
      </c>
      <c r="H37" s="5" t="s">
        <v>141</v>
      </c>
      <c r="I37" s="10">
        <v>45999.0</v>
      </c>
      <c r="J37" s="11" t="s">
        <v>33</v>
      </c>
      <c r="K37" s="5" t="s">
        <v>457</v>
      </c>
      <c r="L37" s="10">
        <v>46007.0</v>
      </c>
      <c r="M37" s="11" t="s">
        <v>38</v>
      </c>
      <c r="N37" s="5" t="s">
        <v>456</v>
      </c>
      <c r="O37" s="10"/>
      <c r="P37" s="11" t="s">
        <v>33</v>
      </c>
      <c r="Q37" s="5" t="s">
        <v>36</v>
      </c>
      <c r="R37" s="23">
        <v>46013.0</v>
      </c>
      <c r="S37" s="12"/>
      <c r="T37" s="5" t="s">
        <v>143</v>
      </c>
      <c r="U37" s="10"/>
      <c r="V37" s="20"/>
      <c r="W37" s="5" t="s">
        <v>144</v>
      </c>
      <c r="X37" s="23">
        <v>46013.0</v>
      </c>
      <c r="Y37" s="11" t="s">
        <v>33</v>
      </c>
      <c r="Z37" s="15" t="s">
        <v>636</v>
      </c>
      <c r="AA37" s="5" t="s">
        <v>41</v>
      </c>
      <c r="AB37" s="23">
        <v>46014.0</v>
      </c>
      <c r="AC37" s="11" t="s">
        <v>33</v>
      </c>
    </row>
    <row r="38" ht="22.5" customHeight="1">
      <c r="A38" s="5">
        <v>6.0</v>
      </c>
      <c r="B38" s="21">
        <v>4.0</v>
      </c>
      <c r="C38" s="5" t="s">
        <v>637</v>
      </c>
      <c r="D38" s="16" t="s">
        <v>30</v>
      </c>
      <c r="E38" s="7" t="str">
        <f>IFERROR(__xludf.DUMMYFUNCTION("IF(AND(F38 &gt; 0.3, F38 &lt; 0.5), SPARKLINE(F38,{""charttype"",""bar"";""color1"",""Gold"";""max"",1}),
IF(F38 = 1, SPARKLINE(F38,{""charttype"",""bar"";""color1"",""Lime"";""max"",1}),
IF(F38 &gt;= 0.5, SPARKLINE(F38,{""charttype"",""bar"";""color1"",""GreenYel"&amp;"low"";""max"",1}),
SPARKLINE(F38,{""charttype"",""bar"";""color1"",""DarkOrange"";""max"",1}))))"),"")</f>
        <v/>
      </c>
      <c r="F38" s="8">
        <f t="shared" si="1"/>
        <v>0.8</v>
      </c>
      <c r="G38" s="14" t="s">
        <v>638</v>
      </c>
      <c r="H38" s="5" t="s">
        <v>141</v>
      </c>
      <c r="I38" s="10">
        <v>45999.0</v>
      </c>
      <c r="J38" s="11" t="s">
        <v>33</v>
      </c>
      <c r="K38" s="5" t="s">
        <v>457</v>
      </c>
      <c r="L38" s="10">
        <v>46007.0</v>
      </c>
      <c r="M38" s="11" t="s">
        <v>38</v>
      </c>
      <c r="N38" s="5" t="s">
        <v>456</v>
      </c>
      <c r="O38" s="10"/>
      <c r="P38" s="11" t="s">
        <v>33</v>
      </c>
      <c r="Q38" s="5" t="s">
        <v>36</v>
      </c>
      <c r="R38" s="23">
        <v>46013.0</v>
      </c>
      <c r="S38" s="12"/>
      <c r="T38" s="5" t="s">
        <v>143</v>
      </c>
      <c r="U38" s="10"/>
      <c r="V38" s="20"/>
      <c r="W38" s="5" t="s">
        <v>144</v>
      </c>
      <c r="X38" s="23">
        <v>46013.0</v>
      </c>
      <c r="Y38" s="11" t="s">
        <v>33</v>
      </c>
      <c r="Z38" s="14" t="s">
        <v>639</v>
      </c>
      <c r="AA38" s="5" t="s">
        <v>41</v>
      </c>
      <c r="AB38" s="23">
        <v>46014.0</v>
      </c>
      <c r="AC38" s="11" t="s">
        <v>33</v>
      </c>
    </row>
    <row r="39" ht="22.5" customHeight="1">
      <c r="A39" s="5">
        <v>6.0</v>
      </c>
      <c r="B39" s="21">
        <v>4.0</v>
      </c>
      <c r="C39" s="5" t="s">
        <v>640</v>
      </c>
      <c r="D39" s="16" t="s">
        <v>30</v>
      </c>
      <c r="E39" s="7" t="str">
        <f>IFERROR(__xludf.DUMMYFUNCTION("IF(AND(F39 &gt; 0.3, F39 &lt; 0.5), SPARKLINE(F39,{""charttype"",""bar"";""color1"",""Gold"";""max"",1}),
IF(F39 = 1, SPARKLINE(F39,{""charttype"",""bar"";""color1"",""Lime"";""max"",1}),
IF(F39 &gt;= 0.5, SPARKLINE(F39,{""charttype"",""bar"";""color1"",""GreenYel"&amp;"low"";""max"",1}),
SPARKLINE(F39,{""charttype"",""bar"";""color1"",""DarkOrange"";""max"",1}))))"),"")</f>
        <v/>
      </c>
      <c r="F39" s="8">
        <f t="shared" si="1"/>
        <v>0.8</v>
      </c>
      <c r="G39" s="14" t="s">
        <v>641</v>
      </c>
      <c r="H39" s="5" t="s">
        <v>141</v>
      </c>
      <c r="I39" s="10">
        <v>45999.0</v>
      </c>
      <c r="J39" s="11" t="s">
        <v>33</v>
      </c>
      <c r="K39" s="5" t="s">
        <v>457</v>
      </c>
      <c r="L39" s="10">
        <v>46007.0</v>
      </c>
      <c r="M39" s="11" t="s">
        <v>38</v>
      </c>
      <c r="N39" s="5" t="s">
        <v>456</v>
      </c>
      <c r="O39" s="10"/>
      <c r="P39" s="11" t="s">
        <v>33</v>
      </c>
      <c r="Q39" s="5" t="s">
        <v>36</v>
      </c>
      <c r="R39" s="23">
        <v>46013.0</v>
      </c>
      <c r="S39" s="12"/>
      <c r="T39" s="5" t="s">
        <v>143</v>
      </c>
      <c r="U39" s="10"/>
      <c r="V39" s="20"/>
      <c r="W39" s="5" t="s">
        <v>144</v>
      </c>
      <c r="X39" s="23">
        <v>46013.0</v>
      </c>
      <c r="Y39" s="11" t="s">
        <v>33</v>
      </c>
      <c r="Z39" s="14" t="s">
        <v>642</v>
      </c>
      <c r="AA39" s="5" t="s">
        <v>41</v>
      </c>
      <c r="AB39" s="23">
        <v>46014.0</v>
      </c>
      <c r="AC39" s="11" t="s">
        <v>33</v>
      </c>
    </row>
    <row r="40" ht="22.5" customHeight="1">
      <c r="A40" s="5">
        <v>6.0</v>
      </c>
      <c r="B40" s="21">
        <v>4.0</v>
      </c>
      <c r="C40" s="5" t="s">
        <v>643</v>
      </c>
      <c r="D40" s="16" t="s">
        <v>49</v>
      </c>
      <c r="E40" s="7" t="str">
        <f>IFERROR(__xludf.DUMMYFUNCTION("IF(AND(F40 &gt; 0.3, F40 &lt; 0.5), SPARKLINE(F40,{""charttype"",""bar"";""color1"",""Gold"";""max"",1}),
IF(F40 = 1, SPARKLINE(F40,{""charttype"",""bar"";""color1"",""Lime"";""max"",1}),
IF(F40 &gt;= 0.5, SPARKLINE(F40,{""charttype"",""bar"";""color1"",""GreenYel"&amp;"low"";""max"",1}),
SPARKLINE(F40,{""charttype"",""bar"";""color1"",""DarkOrange"";""max"",1}))))"),"")</f>
        <v/>
      </c>
      <c r="F40" s="8">
        <f t="shared" si="1"/>
        <v>0.75</v>
      </c>
      <c r="G40" s="14" t="s">
        <v>644</v>
      </c>
      <c r="H40" s="5" t="s">
        <v>141</v>
      </c>
      <c r="I40" s="10">
        <v>45999.0</v>
      </c>
      <c r="J40" s="11" t="s">
        <v>33</v>
      </c>
      <c r="K40" s="5" t="s">
        <v>457</v>
      </c>
      <c r="L40" s="10">
        <v>46007.0</v>
      </c>
      <c r="M40" s="11" t="s">
        <v>38</v>
      </c>
      <c r="N40" s="5" t="s">
        <v>456</v>
      </c>
      <c r="O40" s="10"/>
      <c r="P40" s="20"/>
      <c r="Q40" s="5" t="s">
        <v>36</v>
      </c>
      <c r="R40" s="23">
        <v>46006.0</v>
      </c>
      <c r="S40" s="37"/>
      <c r="T40" s="5" t="s">
        <v>143</v>
      </c>
      <c r="U40" s="10"/>
      <c r="V40" s="20"/>
      <c r="W40" s="5" t="s">
        <v>51</v>
      </c>
      <c r="X40" s="23">
        <v>46006.0</v>
      </c>
      <c r="Y40" s="11" t="s">
        <v>33</v>
      </c>
      <c r="Z40" s="14" t="s">
        <v>645</v>
      </c>
      <c r="AA40" s="5" t="s">
        <v>41</v>
      </c>
      <c r="AB40" s="23">
        <v>46007.0</v>
      </c>
      <c r="AC40" s="11" t="s">
        <v>33</v>
      </c>
    </row>
    <row r="41" ht="22.5" customHeight="1">
      <c r="A41" s="5">
        <v>6.0</v>
      </c>
      <c r="B41" s="21">
        <v>4.0</v>
      </c>
      <c r="C41" s="5" t="s">
        <v>646</v>
      </c>
      <c r="D41" s="16" t="s">
        <v>49</v>
      </c>
      <c r="E41" s="7" t="str">
        <f>IFERROR(__xludf.DUMMYFUNCTION("IF(AND(F41 &gt; 0.3, F41 &lt; 0.5), SPARKLINE(F41,{""charttype"",""bar"";""color1"",""Gold"";""max"",1}),
IF(F41 = 1, SPARKLINE(F41,{""charttype"",""bar"";""color1"",""Lime"";""max"",1}),
IF(F41 &gt;= 0.5, SPARKLINE(F41,{""charttype"",""bar"";""color1"",""GreenYel"&amp;"low"";""max"",1}),
SPARKLINE(F41,{""charttype"",""bar"";""color1"",""DarkOrange"";""max"",1}))))"),"")</f>
        <v/>
      </c>
      <c r="F41" s="8">
        <f t="shared" si="1"/>
        <v>0.75</v>
      </c>
      <c r="G41" s="14" t="s">
        <v>647</v>
      </c>
      <c r="H41" s="5" t="s">
        <v>141</v>
      </c>
      <c r="I41" s="10">
        <v>45999.0</v>
      </c>
      <c r="J41" s="11" t="s">
        <v>33</v>
      </c>
      <c r="K41" s="5" t="s">
        <v>457</v>
      </c>
      <c r="L41" s="10">
        <v>46007.0</v>
      </c>
      <c r="M41" s="11" t="s">
        <v>38</v>
      </c>
      <c r="N41" s="5" t="s">
        <v>456</v>
      </c>
      <c r="O41" s="10"/>
      <c r="P41" s="20"/>
      <c r="Q41" s="5" t="s">
        <v>36</v>
      </c>
      <c r="R41" s="23">
        <v>46006.0</v>
      </c>
      <c r="S41" s="37"/>
      <c r="T41" s="5" t="s">
        <v>143</v>
      </c>
      <c r="U41" s="10"/>
      <c r="V41" s="20"/>
      <c r="W41" s="5" t="s">
        <v>51</v>
      </c>
      <c r="X41" s="23">
        <v>46006.0</v>
      </c>
      <c r="Y41" s="11" t="s">
        <v>33</v>
      </c>
      <c r="Z41" s="14" t="s">
        <v>648</v>
      </c>
      <c r="AA41" s="5" t="s">
        <v>41</v>
      </c>
      <c r="AB41" s="23">
        <v>46007.0</v>
      </c>
      <c r="AC41" s="11" t="s">
        <v>33</v>
      </c>
    </row>
    <row r="42" ht="22.5" customHeight="1">
      <c r="A42" s="5">
        <v>6.0</v>
      </c>
      <c r="B42" s="21">
        <v>4.0</v>
      </c>
      <c r="C42" s="5" t="s">
        <v>649</v>
      </c>
      <c r="D42" s="16" t="s">
        <v>49</v>
      </c>
      <c r="E42" s="7" t="str">
        <f>IFERROR(__xludf.DUMMYFUNCTION("IF(AND(F42 &gt; 0.3, F42 &lt; 0.5), SPARKLINE(F42,{""charttype"",""bar"";""color1"",""Gold"";""max"",1}),
IF(F42 = 1, SPARKLINE(F42,{""charttype"",""bar"";""color1"",""Lime"";""max"",1}),
IF(F42 &gt;= 0.5, SPARKLINE(F42,{""charttype"",""bar"";""color1"",""GreenYel"&amp;"low"";""max"",1}),
SPARKLINE(F42,{""charttype"",""bar"";""color1"",""DarkOrange"";""max"",1}))))"),"")</f>
        <v/>
      </c>
      <c r="F42" s="8">
        <f t="shared" si="1"/>
        <v>0.75</v>
      </c>
      <c r="G42" s="14" t="s">
        <v>650</v>
      </c>
      <c r="H42" s="5" t="s">
        <v>141</v>
      </c>
      <c r="I42" s="10">
        <v>45999.0</v>
      </c>
      <c r="J42" s="11" t="s">
        <v>33</v>
      </c>
      <c r="K42" s="5" t="s">
        <v>457</v>
      </c>
      <c r="L42" s="10">
        <v>46007.0</v>
      </c>
      <c r="M42" s="11" t="s">
        <v>38</v>
      </c>
      <c r="N42" s="5" t="s">
        <v>456</v>
      </c>
      <c r="O42" s="10"/>
      <c r="P42" s="20"/>
      <c r="Q42" s="5" t="s">
        <v>36</v>
      </c>
      <c r="R42" s="23">
        <v>46007.0</v>
      </c>
      <c r="S42" s="37"/>
      <c r="T42" s="5" t="s">
        <v>143</v>
      </c>
      <c r="U42" s="10"/>
      <c r="V42" s="20"/>
      <c r="W42" s="5" t="s">
        <v>51</v>
      </c>
      <c r="X42" s="23">
        <v>46007.0</v>
      </c>
      <c r="Y42" s="11" t="s">
        <v>33</v>
      </c>
      <c r="Z42" s="14" t="s">
        <v>651</v>
      </c>
      <c r="AA42" s="5" t="s">
        <v>41</v>
      </c>
      <c r="AB42" s="23">
        <v>46008.0</v>
      </c>
      <c r="AC42" s="11" t="s">
        <v>33</v>
      </c>
    </row>
    <row r="43" ht="22.5" customHeight="1">
      <c r="A43" s="5">
        <v>6.0</v>
      </c>
      <c r="B43" s="21">
        <v>4.0</v>
      </c>
      <c r="C43" s="5" t="s">
        <v>652</v>
      </c>
      <c r="D43" s="16" t="s">
        <v>60</v>
      </c>
      <c r="E43" s="7" t="str">
        <f>IFERROR(__xludf.DUMMYFUNCTION("IF(AND(F43 &gt; 0.3, F43 &lt; 0.5), SPARKLINE(F43,{""charttype"",""bar"";""color1"",""Gold"";""max"",1}),
IF(F43 = 1, SPARKLINE(F43,{""charttype"",""bar"";""color1"",""Lime"";""max"",1}),
IF(F43 &gt;= 0.5, SPARKLINE(F43,{""charttype"",""bar"";""color1"",""GreenYel"&amp;"low"";""max"",1}),
SPARKLINE(F43,{""charttype"",""bar"";""color1"",""DarkOrange"";""max"",1}))))"),"")</f>
        <v/>
      </c>
      <c r="F43" s="8">
        <f t="shared" si="1"/>
        <v>0.75</v>
      </c>
      <c r="G43" s="14" t="s">
        <v>653</v>
      </c>
      <c r="H43" s="5" t="s">
        <v>141</v>
      </c>
      <c r="I43" s="10">
        <v>45999.0</v>
      </c>
      <c r="J43" s="11" t="s">
        <v>33</v>
      </c>
      <c r="K43" s="5" t="s">
        <v>457</v>
      </c>
      <c r="L43" s="10">
        <v>46007.0</v>
      </c>
      <c r="M43" s="11" t="s">
        <v>38</v>
      </c>
      <c r="N43" s="5" t="s">
        <v>456</v>
      </c>
      <c r="O43" s="10"/>
      <c r="P43" s="20"/>
      <c r="Q43" s="5" t="s">
        <v>36</v>
      </c>
      <c r="R43" s="23">
        <v>45995.0</v>
      </c>
      <c r="S43" s="37"/>
      <c r="T43" s="5" t="s">
        <v>143</v>
      </c>
      <c r="U43" s="10"/>
      <c r="V43" s="20"/>
      <c r="W43" s="5" t="s">
        <v>51</v>
      </c>
      <c r="X43" s="23">
        <v>45995.0</v>
      </c>
      <c r="Y43" s="11" t="s">
        <v>33</v>
      </c>
      <c r="Z43" s="14" t="s">
        <v>654</v>
      </c>
      <c r="AA43" s="5" t="s">
        <v>41</v>
      </c>
      <c r="AB43" s="23">
        <v>45996.0</v>
      </c>
      <c r="AC43" s="11" t="s">
        <v>33</v>
      </c>
    </row>
    <row r="44" ht="22.5" customHeight="1">
      <c r="A44" s="5">
        <v>6.0</v>
      </c>
      <c r="B44" s="21">
        <v>4.0</v>
      </c>
      <c r="C44" s="5" t="s">
        <v>655</v>
      </c>
      <c r="D44" s="16" t="s">
        <v>64</v>
      </c>
      <c r="E44" s="7" t="str">
        <f>IFERROR(__xludf.DUMMYFUNCTION("IF(AND(F44 &gt; 0.3, F44 &lt; 0.5), SPARKLINE(F44,{""charttype"",""bar"";""color1"",""Gold"";""max"",1}),
IF(F44 = 1, SPARKLINE(F44,{""charttype"",""bar"";""color1"",""Lime"";""max"",1}),
IF(F44 &gt;= 0.5, SPARKLINE(F44,{""charttype"",""bar"";""color1"",""GreenYel"&amp;"low"";""max"",1}),
SPARKLINE(F44,{""charttype"",""bar"";""color1"",""DarkOrange"";""max"",1}))))"),"")</f>
        <v/>
      </c>
      <c r="F44" s="8">
        <f t="shared" si="1"/>
        <v>0.75</v>
      </c>
      <c r="G44" s="14" t="s">
        <v>656</v>
      </c>
      <c r="H44" s="5" t="s">
        <v>141</v>
      </c>
      <c r="I44" s="10">
        <v>45999.0</v>
      </c>
      <c r="J44" s="11" t="s">
        <v>33</v>
      </c>
      <c r="K44" s="5" t="s">
        <v>457</v>
      </c>
      <c r="L44" s="10">
        <v>46007.0</v>
      </c>
      <c r="M44" s="11" t="s">
        <v>38</v>
      </c>
      <c r="N44" s="5" t="s">
        <v>456</v>
      </c>
      <c r="O44" s="10"/>
      <c r="P44" s="20"/>
      <c r="Q44" s="5" t="s">
        <v>36</v>
      </c>
      <c r="R44" s="23">
        <v>45999.0</v>
      </c>
      <c r="S44" s="37"/>
      <c r="T44" s="5" t="s">
        <v>143</v>
      </c>
      <c r="U44" s="10"/>
      <c r="V44" s="20"/>
      <c r="W44" s="5" t="s">
        <v>51</v>
      </c>
      <c r="X44" s="23">
        <v>45999.0</v>
      </c>
      <c r="Y44" s="11" t="s">
        <v>33</v>
      </c>
      <c r="Z44" s="14" t="s">
        <v>657</v>
      </c>
      <c r="AA44" s="5" t="s">
        <v>41</v>
      </c>
      <c r="AB44" s="23">
        <v>46000.0</v>
      </c>
      <c r="AC44" s="11" t="s">
        <v>33</v>
      </c>
    </row>
    <row r="45" ht="22.5" customHeight="1">
      <c r="A45" s="5">
        <v>6.0</v>
      </c>
      <c r="B45" s="21">
        <v>4.0</v>
      </c>
      <c r="C45" s="5" t="s">
        <v>658</v>
      </c>
      <c r="D45" s="16" t="s">
        <v>68</v>
      </c>
      <c r="E45" s="7" t="str">
        <f>IFERROR(__xludf.DUMMYFUNCTION("IF(AND(F45 &gt; 0.3, F45 &lt; 0.5), SPARKLINE(F45,{""charttype"",""bar"";""color1"",""Gold"";""max"",1}),
IF(F45 = 1, SPARKLINE(F45,{""charttype"",""bar"";""color1"",""Lime"";""max"",1}),
IF(F45 &gt;= 0.5, SPARKLINE(F45,{""charttype"",""bar"";""color1"",""GreenYel"&amp;"low"";""max"",1}),
SPARKLINE(F45,{""charttype"",""bar"";""color1"",""DarkOrange"";""max"",1}))))"),"")</f>
        <v/>
      </c>
      <c r="F45" s="8">
        <f t="shared" si="1"/>
        <v>0.75</v>
      </c>
      <c r="G45" s="14" t="s">
        <v>659</v>
      </c>
      <c r="H45" s="5" t="s">
        <v>141</v>
      </c>
      <c r="I45" s="10">
        <v>45999.0</v>
      </c>
      <c r="J45" s="11" t="s">
        <v>33</v>
      </c>
      <c r="K45" s="5" t="s">
        <v>457</v>
      </c>
      <c r="L45" s="10">
        <v>46007.0</v>
      </c>
      <c r="M45" s="11" t="s">
        <v>38</v>
      </c>
      <c r="N45" s="5" t="s">
        <v>456</v>
      </c>
      <c r="O45" s="10"/>
      <c r="P45" s="20"/>
      <c r="Q45" s="5" t="s">
        <v>36</v>
      </c>
      <c r="R45" s="23">
        <v>46034.0</v>
      </c>
      <c r="S45" s="37"/>
      <c r="T45" s="5" t="s">
        <v>143</v>
      </c>
      <c r="U45" s="10"/>
      <c r="V45" s="20"/>
      <c r="W45" s="5" t="s">
        <v>51</v>
      </c>
      <c r="X45" s="23">
        <v>46034.0</v>
      </c>
      <c r="Y45" s="11" t="s">
        <v>33</v>
      </c>
      <c r="Z45" s="14" t="s">
        <v>660</v>
      </c>
      <c r="AA45" s="5" t="s">
        <v>41</v>
      </c>
      <c r="AB45" s="23">
        <v>46035.0</v>
      </c>
      <c r="AC45" s="11" t="s">
        <v>33</v>
      </c>
    </row>
  </sheetData>
  <dataValidations>
    <dataValidation type="list" allowBlank="1" sqref="J2:J45 P2:P45 S2:S45 Y2:Y45">
      <formula1>"Concluído,Em Andamento,Pendente,Precisa de Alteração"</formula1>
    </dataValidation>
    <dataValidation type="custom" allowBlank="1" showDropDown="1" sqref="I2:I45 L2:L45 O2:O45 R2:R45 U2:U45 X2:X45 AB2:AB45">
      <formula1>OR(NOT(ISERROR(DATEVALUE(I2))), AND(ISNUMBER(I2), LEFT(CELL("format", I2))="D"))</formula1>
    </dataValidation>
    <dataValidation type="list" allowBlank="1" sqref="M2:M45 AC2:AC45">
      <formula1>"Concluído,Em Andamento,Pendente,Aguardando Correção"</formula1>
    </dataValidation>
    <dataValidation type="list" allowBlank="1" sqref="V2:V45">
      <formula1>"Concluído,Em Andamento,Pendente,Precisa de Alteração,Não Há"</formula1>
    </dataValidation>
    <dataValidation type="custom" allowBlank="1" showDropDown="1" sqref="F2:F45">
      <formula1>AND(ISNUMBER(F2),(NOT(OR(NOT(ISERROR(DATEVALUE(F2))), AND(ISNUMBER(F2), LEFT(CELL("format", F2))="D")))))</formula1>
    </dataValidation>
  </dataValidations>
  <hyperlinks>
    <hyperlink r:id="rId1" ref="G2"/>
    <hyperlink r:id="rId2" ref="Z2"/>
    <hyperlink r:id="rId3" ref="G3"/>
    <hyperlink r:id="rId4" ref="Z3"/>
    <hyperlink r:id="rId5" ref="G4"/>
    <hyperlink r:id="rId6" ref="Z4"/>
    <hyperlink r:id="rId7" ref="G5"/>
    <hyperlink r:id="rId8" ref="Z5"/>
    <hyperlink r:id="rId9" ref="G6"/>
    <hyperlink r:id="rId10" ref="Z6"/>
    <hyperlink r:id="rId11" ref="G7"/>
    <hyperlink r:id="rId12" ref="Z7"/>
    <hyperlink r:id="rId13" ref="G8"/>
    <hyperlink r:id="rId14" ref="Z8"/>
    <hyperlink r:id="rId15" ref="G9"/>
    <hyperlink r:id="rId16" ref="Z9"/>
    <hyperlink r:id="rId17" ref="G10"/>
    <hyperlink r:id="rId18" ref="Z10"/>
    <hyperlink r:id="rId19" ref="G11"/>
    <hyperlink r:id="rId20" ref="Z11"/>
    <hyperlink r:id="rId21" ref="Z12"/>
    <hyperlink r:id="rId22" ref="G13"/>
    <hyperlink r:id="rId23" ref="Z13"/>
    <hyperlink r:id="rId24" ref="G14"/>
    <hyperlink r:id="rId25" ref="Z14"/>
    <hyperlink r:id="rId26" ref="G15"/>
    <hyperlink r:id="rId27" ref="Z15"/>
    <hyperlink r:id="rId28" ref="G16"/>
    <hyperlink r:id="rId29" ref="Z16"/>
    <hyperlink r:id="rId30" ref="G17"/>
    <hyperlink r:id="rId31" ref="Z17"/>
    <hyperlink r:id="rId32" ref="G18"/>
    <hyperlink r:id="rId33" ref="Z18"/>
    <hyperlink r:id="rId34" ref="G19"/>
    <hyperlink r:id="rId35" ref="Z19"/>
    <hyperlink r:id="rId36" ref="G20"/>
    <hyperlink r:id="rId37" ref="Z20"/>
    <hyperlink r:id="rId38" ref="G21"/>
    <hyperlink r:id="rId39" ref="Z21"/>
    <hyperlink r:id="rId40" ref="G22"/>
    <hyperlink r:id="rId41" ref="Z22"/>
    <hyperlink r:id="rId42" ref="Z23"/>
    <hyperlink r:id="rId43" ref="G24"/>
    <hyperlink r:id="rId44" ref="Z24"/>
    <hyperlink r:id="rId45" ref="G25"/>
    <hyperlink r:id="rId46" ref="Z25"/>
    <hyperlink r:id="rId47" ref="G26"/>
    <hyperlink r:id="rId48" ref="Z26"/>
    <hyperlink r:id="rId49" ref="G27"/>
    <hyperlink r:id="rId50" ref="Z27"/>
    <hyperlink r:id="rId51" ref="G28"/>
    <hyperlink r:id="rId52" ref="Z28"/>
    <hyperlink r:id="rId53" ref="G29"/>
    <hyperlink r:id="rId54" ref="Z29"/>
    <hyperlink r:id="rId55" ref="G30"/>
    <hyperlink r:id="rId56" ref="Z30"/>
    <hyperlink r:id="rId57" ref="G31"/>
    <hyperlink r:id="rId58" ref="Z31"/>
    <hyperlink r:id="rId59" ref="G32"/>
    <hyperlink r:id="rId60" ref="Z32"/>
    <hyperlink r:id="rId61" ref="G33"/>
    <hyperlink r:id="rId62" ref="Z33"/>
    <hyperlink r:id="rId63" ref="Z34"/>
    <hyperlink r:id="rId64" ref="G35"/>
    <hyperlink r:id="rId65" ref="Z35"/>
    <hyperlink r:id="rId66" ref="G36"/>
    <hyperlink r:id="rId67" ref="Z36"/>
    <hyperlink r:id="rId68" ref="G37"/>
    <hyperlink r:id="rId69" ref="Z37"/>
    <hyperlink r:id="rId70" ref="G38"/>
    <hyperlink r:id="rId71" ref="Z38"/>
    <hyperlink r:id="rId72" ref="G39"/>
    <hyperlink r:id="rId73" ref="Z39"/>
    <hyperlink r:id="rId74" ref="G40"/>
    <hyperlink r:id="rId75" ref="Z40"/>
    <hyperlink r:id="rId76" ref="G41"/>
    <hyperlink r:id="rId77" ref="Z41"/>
    <hyperlink r:id="rId78" ref="G42"/>
    <hyperlink r:id="rId79" ref="Z42"/>
    <hyperlink r:id="rId80" ref="G43"/>
    <hyperlink r:id="rId81" ref="Z43"/>
    <hyperlink r:id="rId82" ref="G44"/>
    <hyperlink r:id="rId83" ref="Z44"/>
    <hyperlink r:id="rId84" ref="G45"/>
    <hyperlink r:id="rId85" ref="Z45"/>
  </hyperlinks>
  <drawing r:id="rId86"/>
  <tableParts count="1">
    <tablePart r:id="rId88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15.13"/>
    <col customWidth="1" min="2" max="2" width="9.0"/>
    <col customWidth="1" min="3" max="3" width="19.13"/>
    <col customWidth="1" min="4" max="4" width="15.0"/>
    <col customWidth="1" min="5" max="5" width="24.38"/>
    <col customWidth="1" min="6" max="6" width="7.75"/>
    <col customWidth="1" min="7" max="7" width="29.38"/>
    <col customWidth="1" min="8" max="8" width="18.88"/>
    <col customWidth="1" min="9" max="9" width="20.13"/>
    <col customWidth="1" min="10" max="10" width="21.75"/>
    <col customWidth="1" min="11" max="12" width="20.13"/>
    <col customWidth="1" min="13" max="13" width="21.75"/>
    <col customWidth="1" min="14" max="14" width="16.63"/>
    <col customWidth="1" min="15" max="15" width="20.13"/>
    <col customWidth="1" min="16" max="19" width="21.75"/>
    <col customWidth="1" min="20" max="20" width="16.25"/>
    <col customWidth="1" min="21" max="21" width="20.13"/>
    <col customWidth="1" min="22" max="22" width="21.75"/>
    <col customWidth="1" min="23" max="23" width="18.13"/>
    <col customWidth="1" min="24" max="24" width="20.13"/>
    <col customWidth="1" min="25" max="25" width="21.75"/>
    <col customWidth="1" min="26" max="26" width="30.13"/>
    <col customWidth="1" min="27" max="27" width="16.25"/>
    <col customWidth="1" min="28" max="28" width="20.13"/>
    <col customWidth="1" min="29" max="29" width="21.75"/>
  </cols>
  <sheetData>
    <row r="1" ht="22.5" customHeight="1">
      <c r="A1" s="1" t="s">
        <v>135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138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4" t="s">
        <v>24</v>
      </c>
      <c r="Z1" s="4" t="s">
        <v>25</v>
      </c>
      <c r="AA1" s="1" t="s">
        <v>26</v>
      </c>
      <c r="AB1" s="1" t="s">
        <v>27</v>
      </c>
      <c r="AC1" s="1" t="s">
        <v>28</v>
      </c>
    </row>
    <row r="2" ht="22.5" customHeight="1">
      <c r="A2" s="5">
        <v>7.0</v>
      </c>
      <c r="B2" s="21">
        <v>1.0</v>
      </c>
      <c r="C2" s="5" t="s">
        <v>661</v>
      </c>
      <c r="D2" s="16" t="s">
        <v>30</v>
      </c>
      <c r="E2" s="7" t="str">
        <f>IFERROR(__xludf.DUMMYFUNCTION("IF(AND(F2 &gt; 0.3, F2 &lt; 0.5), SPARKLINE(F2,{""charttype"",""bar"";""color1"",""Gold"";""max"",1}),
IF(F2 = 1, SPARKLINE(F2,{""charttype"",""bar"";""color1"",""Lime"";""max"",1}),
IF(F2 &gt;= 0.5, SPARKLINE(F2,{""charttype"",""bar"";""color1"",""GreenYellow"";"&amp;"""max"",1}),
SPARKLINE(F2,{""charttype"",""bar"";""color1"",""DarkOrange"";""max"",1}))))"),"")</f>
        <v/>
      </c>
      <c r="F2" s="8">
        <f t="shared" ref="F2:F60" si="1">IF(OR(D2="ROTEIRO DE VÍDEO", D2="VÍDEO"), (IF(J2="Concluído", 1, 0) + IF(M2="Concluído", 1, 0) + IF(P2="Concluído", 1, 0) + IF(Y2="Concluído", 1, 0) + IF(AC2="Concluído", 1, 0)) / 5,
IF(OR(D2="SLIDE", D2="FÓRUM", D2="PLANO DE AULA", D2="QUIZ", D2="TAREFA", D2="EBOOK", D2="PDF(AVULSO)"), (IF(J2="Concluído", 1, 0) + IF(M2="Concluído", 1, 0) + IF(Y2="Concluído", 1, 0) + IF(AC2="Concluído", 1, 0)) / 4,0))</f>
        <v>1</v>
      </c>
      <c r="G2" s="18" t="s">
        <v>662</v>
      </c>
      <c r="H2" s="5" t="s">
        <v>141</v>
      </c>
      <c r="I2" s="10">
        <v>45909.0</v>
      </c>
      <c r="J2" s="11" t="s">
        <v>33</v>
      </c>
      <c r="K2" s="5" t="s">
        <v>457</v>
      </c>
      <c r="L2" s="10">
        <v>45965.0</v>
      </c>
      <c r="M2" s="11" t="s">
        <v>33</v>
      </c>
      <c r="N2" s="5" t="s">
        <v>141</v>
      </c>
      <c r="O2" s="10">
        <v>45912.0</v>
      </c>
      <c r="P2" s="11" t="s">
        <v>33</v>
      </c>
      <c r="Q2" s="5" t="s">
        <v>36</v>
      </c>
      <c r="R2" s="23">
        <v>46013.0</v>
      </c>
      <c r="S2" s="12"/>
      <c r="T2" s="5" t="s">
        <v>143</v>
      </c>
      <c r="U2" s="10"/>
      <c r="V2" s="11" t="s">
        <v>38</v>
      </c>
      <c r="W2" s="5" t="s">
        <v>144</v>
      </c>
      <c r="X2" s="38">
        <v>46013.0</v>
      </c>
      <c r="Y2" s="11" t="s">
        <v>33</v>
      </c>
      <c r="Z2" s="39" t="s">
        <v>663</v>
      </c>
      <c r="AA2" s="26" t="s">
        <v>41</v>
      </c>
      <c r="AB2" s="23">
        <v>46013.0</v>
      </c>
      <c r="AC2" s="11" t="s">
        <v>33</v>
      </c>
    </row>
    <row r="3" ht="22.5" customHeight="1">
      <c r="A3" s="5">
        <v>7.0</v>
      </c>
      <c r="B3" s="21">
        <v>1.0</v>
      </c>
      <c r="C3" s="5" t="s">
        <v>664</v>
      </c>
      <c r="D3" s="16" t="s">
        <v>30</v>
      </c>
      <c r="E3" s="7" t="str">
        <f>IFERROR(__xludf.DUMMYFUNCTION("IF(AND(F3 &gt; 0.3, F3 &lt; 0.5), SPARKLINE(F3,{""charttype"",""bar"";""color1"",""Gold"";""max"",1}),
IF(F3 = 1, SPARKLINE(F3,{""charttype"",""bar"";""color1"",""Lime"";""max"",1}),
IF(F3 &gt;= 0.5, SPARKLINE(F3,{""charttype"",""bar"";""color1"",""GreenYellow"";"&amp;"""max"",1}),
SPARKLINE(F3,{""charttype"",""bar"";""color1"",""DarkOrange"";""max"",1}))))"),"")</f>
        <v/>
      </c>
      <c r="F3" s="8">
        <f t="shared" si="1"/>
        <v>1</v>
      </c>
      <c r="G3" s="15" t="s">
        <v>665</v>
      </c>
      <c r="H3" s="5" t="s">
        <v>141</v>
      </c>
      <c r="I3" s="10">
        <v>45909.0</v>
      </c>
      <c r="J3" s="11" t="s">
        <v>33</v>
      </c>
      <c r="K3" s="5" t="s">
        <v>457</v>
      </c>
      <c r="L3" s="10">
        <v>45965.0</v>
      </c>
      <c r="M3" s="11" t="s">
        <v>33</v>
      </c>
      <c r="N3" s="5" t="s">
        <v>141</v>
      </c>
      <c r="O3" s="10">
        <v>45912.0</v>
      </c>
      <c r="P3" s="11" t="s">
        <v>33</v>
      </c>
      <c r="Q3" s="5" t="s">
        <v>36</v>
      </c>
      <c r="R3" s="23">
        <v>46013.0</v>
      </c>
      <c r="S3" s="12"/>
      <c r="T3" s="5" t="s">
        <v>143</v>
      </c>
      <c r="U3" s="10"/>
      <c r="V3" s="11" t="s">
        <v>38</v>
      </c>
      <c r="W3" s="5" t="s">
        <v>144</v>
      </c>
      <c r="X3" s="38">
        <v>46013.0</v>
      </c>
      <c r="Y3" s="11" t="s">
        <v>33</v>
      </c>
      <c r="Z3" s="39" t="s">
        <v>666</v>
      </c>
      <c r="AA3" s="26" t="s">
        <v>41</v>
      </c>
      <c r="AB3" s="23">
        <v>46013.0</v>
      </c>
      <c r="AC3" s="11" t="s">
        <v>33</v>
      </c>
    </row>
    <row r="4" ht="22.5" customHeight="1">
      <c r="A4" s="5">
        <v>7.0</v>
      </c>
      <c r="B4" s="21">
        <v>1.0</v>
      </c>
      <c r="C4" s="5" t="s">
        <v>667</v>
      </c>
      <c r="D4" s="16" t="s">
        <v>30</v>
      </c>
      <c r="E4" s="7" t="str">
        <f>IFERROR(__xludf.DUMMYFUNCTION("IF(AND(F4 &gt; 0.3, F4 &lt; 0.5), SPARKLINE(F4,{""charttype"",""bar"";""color1"",""Gold"";""max"",1}),
IF(F4 = 1, SPARKLINE(F4,{""charttype"",""bar"";""color1"",""Lime"";""max"",1}),
IF(F4 &gt;= 0.5, SPARKLINE(F4,{""charttype"",""bar"";""color1"",""GreenYellow"";"&amp;"""max"",1}),
SPARKLINE(F4,{""charttype"",""bar"";""color1"",""DarkOrange"";""max"",1}))))"),"")</f>
        <v/>
      </c>
      <c r="F4" s="8">
        <f t="shared" si="1"/>
        <v>1</v>
      </c>
      <c r="G4" s="14" t="s">
        <v>668</v>
      </c>
      <c r="H4" s="5" t="s">
        <v>141</v>
      </c>
      <c r="I4" s="10">
        <v>45909.0</v>
      </c>
      <c r="J4" s="11" t="s">
        <v>33</v>
      </c>
      <c r="K4" s="5" t="s">
        <v>457</v>
      </c>
      <c r="L4" s="10">
        <v>45965.0</v>
      </c>
      <c r="M4" s="11" t="s">
        <v>33</v>
      </c>
      <c r="N4" s="5" t="s">
        <v>141</v>
      </c>
      <c r="O4" s="10">
        <v>45912.0</v>
      </c>
      <c r="P4" s="11" t="s">
        <v>33</v>
      </c>
      <c r="Q4" s="5" t="s">
        <v>36</v>
      </c>
      <c r="R4" s="23">
        <v>46013.0</v>
      </c>
      <c r="S4" s="12"/>
      <c r="T4" s="5" t="s">
        <v>143</v>
      </c>
      <c r="U4" s="10"/>
      <c r="V4" s="11" t="s">
        <v>38</v>
      </c>
      <c r="W4" s="5" t="s">
        <v>144</v>
      </c>
      <c r="X4" s="38">
        <v>46013.0</v>
      </c>
      <c r="Y4" s="11" t="s">
        <v>33</v>
      </c>
      <c r="Z4" s="39" t="s">
        <v>669</v>
      </c>
      <c r="AA4" s="26" t="s">
        <v>41</v>
      </c>
      <c r="AB4" s="23">
        <v>46013.0</v>
      </c>
      <c r="AC4" s="11" t="s">
        <v>33</v>
      </c>
    </row>
    <row r="5" ht="22.5" customHeight="1">
      <c r="A5" s="5">
        <v>7.0</v>
      </c>
      <c r="B5" s="21">
        <v>1.0</v>
      </c>
      <c r="C5" s="5" t="s">
        <v>670</v>
      </c>
      <c r="D5" s="16" t="s">
        <v>30</v>
      </c>
      <c r="E5" s="7" t="str">
        <f>IFERROR(__xludf.DUMMYFUNCTION("IF(AND(F5 &gt; 0.3, F5 &lt; 0.5), SPARKLINE(F5,{""charttype"",""bar"";""color1"",""Gold"";""max"",1}),
IF(F5 = 1, SPARKLINE(F5,{""charttype"",""bar"";""color1"",""Lime"";""max"",1}),
IF(F5 &gt;= 0.5, SPARKLINE(F5,{""charttype"",""bar"";""color1"",""GreenYellow"";"&amp;"""max"",1}),
SPARKLINE(F5,{""charttype"",""bar"";""color1"",""DarkOrange"";""max"",1}))))"),"")</f>
        <v/>
      </c>
      <c r="F5" s="8">
        <f t="shared" si="1"/>
        <v>1</v>
      </c>
      <c r="G5" s="14" t="s">
        <v>671</v>
      </c>
      <c r="H5" s="5" t="s">
        <v>141</v>
      </c>
      <c r="I5" s="10">
        <v>45909.0</v>
      </c>
      <c r="J5" s="11" t="s">
        <v>33</v>
      </c>
      <c r="K5" s="5" t="s">
        <v>457</v>
      </c>
      <c r="L5" s="10">
        <v>45965.0</v>
      </c>
      <c r="M5" s="11" t="s">
        <v>33</v>
      </c>
      <c r="N5" s="5" t="s">
        <v>141</v>
      </c>
      <c r="O5" s="10">
        <v>45912.0</v>
      </c>
      <c r="P5" s="11" t="s">
        <v>33</v>
      </c>
      <c r="Q5" s="5" t="s">
        <v>36</v>
      </c>
      <c r="R5" s="23">
        <v>46013.0</v>
      </c>
      <c r="S5" s="12"/>
      <c r="T5" s="5" t="s">
        <v>143</v>
      </c>
      <c r="U5" s="10"/>
      <c r="V5" s="11" t="s">
        <v>38</v>
      </c>
      <c r="W5" s="5" t="s">
        <v>144</v>
      </c>
      <c r="X5" s="38">
        <v>46013.0</v>
      </c>
      <c r="Y5" s="11" t="s">
        <v>33</v>
      </c>
      <c r="Z5" s="39" t="s">
        <v>672</v>
      </c>
      <c r="AA5" s="26" t="s">
        <v>41</v>
      </c>
      <c r="AB5" s="23">
        <v>46013.0</v>
      </c>
      <c r="AC5" s="11" t="s">
        <v>33</v>
      </c>
    </row>
    <row r="6" ht="22.5" customHeight="1">
      <c r="A6" s="5">
        <v>7.0</v>
      </c>
      <c r="B6" s="21">
        <v>1.0</v>
      </c>
      <c r="C6" s="5" t="s">
        <v>673</v>
      </c>
      <c r="D6" s="16" t="s">
        <v>30</v>
      </c>
      <c r="E6" s="7" t="str">
        <f>IFERROR(__xludf.DUMMYFUNCTION("IF(AND(F6 &gt; 0.3, F6 &lt; 0.5), SPARKLINE(F6,{""charttype"",""bar"";""color1"",""Gold"";""max"",1}),
IF(F6 = 1, SPARKLINE(F6,{""charttype"",""bar"";""color1"",""Lime"";""max"",1}),
IF(F6 &gt;= 0.5, SPARKLINE(F6,{""charttype"",""bar"";""color1"",""GreenYellow"";"&amp;"""max"",1}),
SPARKLINE(F6,{""charttype"",""bar"";""color1"",""DarkOrange"";""max"",1}))))"),"")</f>
        <v/>
      </c>
      <c r="F6" s="8">
        <f t="shared" si="1"/>
        <v>1</v>
      </c>
      <c r="G6" s="14" t="s">
        <v>674</v>
      </c>
      <c r="H6" s="5" t="s">
        <v>141</v>
      </c>
      <c r="I6" s="10">
        <v>45909.0</v>
      </c>
      <c r="J6" s="11" t="s">
        <v>33</v>
      </c>
      <c r="K6" s="5" t="s">
        <v>457</v>
      </c>
      <c r="L6" s="10">
        <v>45965.0</v>
      </c>
      <c r="M6" s="11" t="s">
        <v>33</v>
      </c>
      <c r="N6" s="5" t="s">
        <v>141</v>
      </c>
      <c r="O6" s="10">
        <v>45912.0</v>
      </c>
      <c r="P6" s="11" t="s">
        <v>33</v>
      </c>
      <c r="Q6" s="5" t="s">
        <v>36</v>
      </c>
      <c r="R6" s="23">
        <v>46013.0</v>
      </c>
      <c r="S6" s="12"/>
      <c r="T6" s="5" t="s">
        <v>143</v>
      </c>
      <c r="U6" s="10"/>
      <c r="V6" s="20"/>
      <c r="W6" s="5" t="s">
        <v>144</v>
      </c>
      <c r="X6" s="38">
        <v>46013.0</v>
      </c>
      <c r="Y6" s="11" t="s">
        <v>33</v>
      </c>
      <c r="Z6" s="39" t="s">
        <v>675</v>
      </c>
      <c r="AA6" s="26" t="s">
        <v>41</v>
      </c>
      <c r="AB6" s="23">
        <v>46013.0</v>
      </c>
      <c r="AC6" s="11" t="s">
        <v>33</v>
      </c>
    </row>
    <row r="7" ht="22.5" customHeight="1">
      <c r="A7" s="5">
        <v>7.0</v>
      </c>
      <c r="B7" s="21">
        <v>1.0</v>
      </c>
      <c r="C7" s="5" t="s">
        <v>676</v>
      </c>
      <c r="D7" s="16" t="s">
        <v>30</v>
      </c>
      <c r="E7" s="7" t="str">
        <f>IFERROR(__xludf.DUMMYFUNCTION("IF(AND(F7 &gt; 0.3, F7 &lt; 0.5), SPARKLINE(F7,{""charttype"",""bar"";""color1"",""Gold"";""max"",1}),
IF(F7 = 1, SPARKLINE(F7,{""charttype"",""bar"";""color1"",""Lime"";""max"",1}),
IF(F7 &gt;= 0.5, SPARKLINE(F7,{""charttype"",""bar"";""color1"",""GreenYellow"";"&amp;"""max"",1}),
SPARKLINE(F7,{""charttype"",""bar"";""color1"",""DarkOrange"";""max"",1}))))"),"")</f>
        <v/>
      </c>
      <c r="F7" s="8">
        <f t="shared" si="1"/>
        <v>1</v>
      </c>
      <c r="G7" s="14" t="s">
        <v>677</v>
      </c>
      <c r="H7" s="5" t="s">
        <v>141</v>
      </c>
      <c r="I7" s="10">
        <v>45909.0</v>
      </c>
      <c r="J7" s="11" t="s">
        <v>33</v>
      </c>
      <c r="K7" s="5" t="s">
        <v>457</v>
      </c>
      <c r="L7" s="10">
        <v>45965.0</v>
      </c>
      <c r="M7" s="11" t="s">
        <v>33</v>
      </c>
      <c r="N7" s="5" t="s">
        <v>141</v>
      </c>
      <c r="O7" s="10">
        <v>45912.0</v>
      </c>
      <c r="P7" s="11" t="s">
        <v>33</v>
      </c>
      <c r="Q7" s="5" t="s">
        <v>36</v>
      </c>
      <c r="R7" s="23">
        <v>46013.0</v>
      </c>
      <c r="S7" s="12"/>
      <c r="T7" s="5" t="s">
        <v>143</v>
      </c>
      <c r="U7" s="10"/>
      <c r="V7" s="20"/>
      <c r="W7" s="5" t="s">
        <v>144</v>
      </c>
      <c r="X7" s="38">
        <v>46013.0</v>
      </c>
      <c r="Y7" s="11" t="s">
        <v>33</v>
      </c>
      <c r="Z7" s="39" t="s">
        <v>678</v>
      </c>
      <c r="AA7" s="26" t="s">
        <v>41</v>
      </c>
      <c r="AB7" s="23">
        <v>46013.0</v>
      </c>
      <c r="AC7" s="11" t="s">
        <v>33</v>
      </c>
    </row>
    <row r="8" ht="22.5" customHeight="1">
      <c r="A8" s="5">
        <v>7.0</v>
      </c>
      <c r="B8" s="21">
        <v>1.0</v>
      </c>
      <c r="C8" s="5" t="s">
        <v>679</v>
      </c>
      <c r="D8" s="16" t="s">
        <v>49</v>
      </c>
      <c r="E8" s="7" t="str">
        <f>IFERROR(__xludf.DUMMYFUNCTION("IF(AND(F8 &gt; 0.3, F8 &lt; 0.5), SPARKLINE(F8,{""charttype"",""bar"";""color1"",""Gold"";""max"",1}),
IF(F8 = 1, SPARKLINE(F8,{""charttype"",""bar"";""color1"",""Lime"";""max"",1}),
IF(F8 &gt;= 0.5, SPARKLINE(F8,{""charttype"",""bar"";""color1"",""GreenYellow"";"&amp;"""max"",1}),
SPARKLINE(F8,{""charttype"",""bar"";""color1"",""DarkOrange"";""max"",1}))))"),"")</f>
        <v/>
      </c>
      <c r="F8" s="8">
        <f t="shared" si="1"/>
        <v>1</v>
      </c>
      <c r="G8" s="14" t="s">
        <v>680</v>
      </c>
      <c r="H8" s="5" t="s">
        <v>141</v>
      </c>
      <c r="I8" s="10">
        <v>45909.0</v>
      </c>
      <c r="J8" s="11" t="s">
        <v>33</v>
      </c>
      <c r="K8" s="5" t="s">
        <v>457</v>
      </c>
      <c r="L8" s="10">
        <v>45965.0</v>
      </c>
      <c r="M8" s="11" t="s">
        <v>33</v>
      </c>
      <c r="N8" s="5" t="s">
        <v>141</v>
      </c>
      <c r="O8" s="10"/>
      <c r="P8" s="11" t="s">
        <v>38</v>
      </c>
      <c r="Q8" s="5" t="s">
        <v>36</v>
      </c>
      <c r="R8" s="23">
        <v>46016.0</v>
      </c>
      <c r="S8" s="12"/>
      <c r="T8" s="5" t="s">
        <v>143</v>
      </c>
      <c r="U8" s="10"/>
      <c r="V8" s="20"/>
      <c r="W8" s="5" t="s">
        <v>51</v>
      </c>
      <c r="X8" s="38">
        <v>46016.0</v>
      </c>
      <c r="Y8" s="11" t="s">
        <v>33</v>
      </c>
      <c r="Z8" s="15" t="s">
        <v>681</v>
      </c>
      <c r="AA8" s="26" t="s">
        <v>41</v>
      </c>
      <c r="AB8" s="23">
        <v>46016.0</v>
      </c>
      <c r="AC8" s="11" t="s">
        <v>33</v>
      </c>
    </row>
    <row r="9" ht="22.5" customHeight="1">
      <c r="A9" s="5">
        <v>7.0</v>
      </c>
      <c r="B9" s="21">
        <v>1.0</v>
      </c>
      <c r="C9" s="5" t="s">
        <v>682</v>
      </c>
      <c r="D9" s="16" t="s">
        <v>49</v>
      </c>
      <c r="E9" s="7" t="str">
        <f>IFERROR(__xludf.DUMMYFUNCTION("IF(AND(F9 &gt; 0.3, F9 &lt; 0.5), SPARKLINE(F9,{""charttype"",""bar"";""color1"",""Gold"";""max"",1}),
IF(F9 = 1, SPARKLINE(F9,{""charttype"",""bar"";""color1"",""Lime"";""max"",1}),
IF(F9 &gt;= 0.5, SPARKLINE(F9,{""charttype"",""bar"";""color1"",""GreenYellow"";"&amp;"""max"",1}),
SPARKLINE(F9,{""charttype"",""bar"";""color1"",""DarkOrange"";""max"",1}))))"),"")</f>
        <v/>
      </c>
      <c r="F9" s="8">
        <f t="shared" si="1"/>
        <v>1</v>
      </c>
      <c r="G9" s="14" t="s">
        <v>683</v>
      </c>
      <c r="H9" s="5" t="s">
        <v>141</v>
      </c>
      <c r="I9" s="10">
        <v>45909.0</v>
      </c>
      <c r="J9" s="11" t="s">
        <v>33</v>
      </c>
      <c r="K9" s="5" t="s">
        <v>457</v>
      </c>
      <c r="L9" s="10">
        <v>45965.0</v>
      </c>
      <c r="M9" s="11" t="s">
        <v>33</v>
      </c>
      <c r="N9" s="5" t="s">
        <v>141</v>
      </c>
      <c r="O9" s="10"/>
      <c r="P9" s="11" t="s">
        <v>38</v>
      </c>
      <c r="Q9" s="5" t="s">
        <v>36</v>
      </c>
      <c r="R9" s="23">
        <v>46016.0</v>
      </c>
      <c r="S9" s="12"/>
      <c r="T9" s="5" t="s">
        <v>143</v>
      </c>
      <c r="U9" s="10"/>
      <c r="V9" s="20"/>
      <c r="W9" s="5" t="s">
        <v>51</v>
      </c>
      <c r="X9" s="38">
        <v>46016.0</v>
      </c>
      <c r="Y9" s="11" t="s">
        <v>33</v>
      </c>
      <c r="Z9" s="15" t="s">
        <v>684</v>
      </c>
      <c r="AA9" s="26" t="s">
        <v>41</v>
      </c>
      <c r="AB9" s="23">
        <v>46016.0</v>
      </c>
      <c r="AC9" s="11" t="s">
        <v>33</v>
      </c>
    </row>
    <row r="10" ht="22.5" customHeight="1">
      <c r="A10" s="5">
        <v>7.0</v>
      </c>
      <c r="B10" s="21">
        <v>1.0</v>
      </c>
      <c r="C10" s="5" t="s">
        <v>685</v>
      </c>
      <c r="D10" s="16" t="s">
        <v>49</v>
      </c>
      <c r="E10" s="7" t="str">
        <f>IFERROR(__xludf.DUMMYFUNCTION("IF(AND(F10 &gt; 0.3, F10 &lt; 0.5), SPARKLINE(F10,{""charttype"",""bar"";""color1"",""Gold"";""max"",1}),
IF(F10 = 1, SPARKLINE(F10,{""charttype"",""bar"";""color1"",""Lime"";""max"",1}),
IF(F10 &gt;= 0.5, SPARKLINE(F10,{""charttype"",""bar"";""color1"",""GreenYel"&amp;"low"";""max"",1}),
SPARKLINE(F10,{""charttype"",""bar"";""color1"",""DarkOrange"";""max"",1}))))"),"")</f>
        <v/>
      </c>
      <c r="F10" s="8">
        <f t="shared" si="1"/>
        <v>1</v>
      </c>
      <c r="G10" s="14" t="s">
        <v>686</v>
      </c>
      <c r="H10" s="5" t="s">
        <v>141</v>
      </c>
      <c r="I10" s="10">
        <v>45909.0</v>
      </c>
      <c r="J10" s="11" t="s">
        <v>33</v>
      </c>
      <c r="K10" s="5" t="s">
        <v>457</v>
      </c>
      <c r="L10" s="10">
        <v>45965.0</v>
      </c>
      <c r="M10" s="11" t="s">
        <v>33</v>
      </c>
      <c r="N10" s="5" t="s">
        <v>141</v>
      </c>
      <c r="O10" s="10"/>
      <c r="P10" s="11" t="s">
        <v>38</v>
      </c>
      <c r="Q10" s="5" t="s">
        <v>36</v>
      </c>
      <c r="R10" s="23">
        <v>46016.0</v>
      </c>
      <c r="S10" s="12"/>
      <c r="T10" s="5" t="s">
        <v>143</v>
      </c>
      <c r="U10" s="10"/>
      <c r="V10" s="20"/>
      <c r="W10" s="5" t="s">
        <v>51</v>
      </c>
      <c r="X10" s="38">
        <v>46016.0</v>
      </c>
      <c r="Y10" s="11" t="s">
        <v>33</v>
      </c>
      <c r="Z10" s="15" t="s">
        <v>687</v>
      </c>
      <c r="AA10" s="26" t="s">
        <v>41</v>
      </c>
      <c r="AB10" s="23">
        <v>46016.0</v>
      </c>
      <c r="AC10" s="11" t="s">
        <v>33</v>
      </c>
    </row>
    <row r="11" ht="22.5" customHeight="1">
      <c r="A11" s="5">
        <v>7.0</v>
      </c>
      <c r="B11" s="21">
        <v>1.0</v>
      </c>
      <c r="C11" s="5" t="s">
        <v>688</v>
      </c>
      <c r="D11" s="16" t="s">
        <v>49</v>
      </c>
      <c r="E11" s="7" t="str">
        <f>IFERROR(__xludf.DUMMYFUNCTION("IF(AND(F11 &gt; 0.3, F11 &lt; 0.5), SPARKLINE(F11,{""charttype"",""bar"";""color1"",""Gold"";""max"",1}),
IF(F11 = 1, SPARKLINE(F11,{""charttype"",""bar"";""color1"",""Lime"";""max"",1}),
IF(F11 &gt;= 0.5, SPARKLINE(F11,{""charttype"",""bar"";""color1"",""GreenYel"&amp;"low"";""max"",1}),
SPARKLINE(F11,{""charttype"",""bar"";""color1"",""DarkOrange"";""max"",1}))))"),"")</f>
        <v/>
      </c>
      <c r="F11" s="8">
        <f t="shared" si="1"/>
        <v>1</v>
      </c>
      <c r="G11" s="14" t="s">
        <v>689</v>
      </c>
      <c r="H11" s="5" t="s">
        <v>141</v>
      </c>
      <c r="I11" s="10">
        <v>45909.0</v>
      </c>
      <c r="J11" s="11" t="s">
        <v>33</v>
      </c>
      <c r="K11" s="5" t="s">
        <v>457</v>
      </c>
      <c r="L11" s="10">
        <v>45965.0</v>
      </c>
      <c r="M11" s="11" t="s">
        <v>33</v>
      </c>
      <c r="N11" s="5" t="s">
        <v>141</v>
      </c>
      <c r="O11" s="10"/>
      <c r="P11" s="11" t="s">
        <v>38</v>
      </c>
      <c r="Q11" s="5" t="s">
        <v>36</v>
      </c>
      <c r="R11" s="23">
        <v>46016.0</v>
      </c>
      <c r="S11" s="12"/>
      <c r="T11" s="5" t="s">
        <v>143</v>
      </c>
      <c r="U11" s="10"/>
      <c r="V11" s="20"/>
      <c r="W11" s="5" t="s">
        <v>51</v>
      </c>
      <c r="X11" s="38">
        <v>46016.0</v>
      </c>
      <c r="Y11" s="11" t="s">
        <v>33</v>
      </c>
      <c r="Z11" s="15" t="s">
        <v>690</v>
      </c>
      <c r="AA11" s="26" t="s">
        <v>41</v>
      </c>
      <c r="AB11" s="23">
        <v>46016.0</v>
      </c>
      <c r="AC11" s="11" t="s">
        <v>33</v>
      </c>
    </row>
    <row r="12" ht="22.5" customHeight="1">
      <c r="A12" s="5">
        <v>7.0</v>
      </c>
      <c r="B12" s="21">
        <v>1.0</v>
      </c>
      <c r="C12" s="5" t="s">
        <v>691</v>
      </c>
      <c r="D12" s="16" t="s">
        <v>49</v>
      </c>
      <c r="E12" s="7" t="str">
        <f>IFERROR(__xludf.DUMMYFUNCTION("IF(AND(F12 &gt; 0.3, F12 &lt; 0.5), SPARKLINE(F12,{""charttype"",""bar"";""color1"",""Gold"";""max"",1}),
IF(F12 = 1, SPARKLINE(F12,{""charttype"",""bar"";""color1"",""Lime"";""max"",1}),
IF(F12 &gt;= 0.5, SPARKLINE(F12,{""charttype"",""bar"";""color1"",""GreenYel"&amp;"low"";""max"",1}),
SPARKLINE(F12,{""charttype"",""bar"";""color1"",""DarkOrange"";""max"",1}))))"),"")</f>
        <v/>
      </c>
      <c r="F12" s="8">
        <f t="shared" si="1"/>
        <v>1</v>
      </c>
      <c r="G12" s="14" t="s">
        <v>692</v>
      </c>
      <c r="H12" s="5" t="s">
        <v>141</v>
      </c>
      <c r="I12" s="10">
        <v>45909.0</v>
      </c>
      <c r="J12" s="11" t="s">
        <v>33</v>
      </c>
      <c r="K12" s="5" t="s">
        <v>457</v>
      </c>
      <c r="L12" s="10">
        <v>45965.0</v>
      </c>
      <c r="M12" s="11" t="s">
        <v>33</v>
      </c>
      <c r="N12" s="5" t="s">
        <v>141</v>
      </c>
      <c r="O12" s="10"/>
      <c r="P12" s="11" t="s">
        <v>38</v>
      </c>
      <c r="Q12" s="5" t="s">
        <v>36</v>
      </c>
      <c r="R12" s="23">
        <v>46016.0</v>
      </c>
      <c r="S12" s="12"/>
      <c r="T12" s="5" t="s">
        <v>143</v>
      </c>
      <c r="U12" s="10"/>
      <c r="V12" s="20"/>
      <c r="W12" s="5" t="s">
        <v>51</v>
      </c>
      <c r="X12" s="38">
        <v>46016.0</v>
      </c>
      <c r="Y12" s="11" t="s">
        <v>33</v>
      </c>
      <c r="Z12" s="15" t="s">
        <v>693</v>
      </c>
      <c r="AA12" s="26" t="s">
        <v>41</v>
      </c>
      <c r="AB12" s="23">
        <v>46016.0</v>
      </c>
      <c r="AC12" s="11" t="s">
        <v>33</v>
      </c>
    </row>
    <row r="13" ht="22.5" customHeight="1">
      <c r="A13" s="5">
        <v>7.0</v>
      </c>
      <c r="B13" s="21">
        <v>1.0</v>
      </c>
      <c r="C13" s="5" t="s">
        <v>694</v>
      </c>
      <c r="D13" s="16" t="s">
        <v>49</v>
      </c>
      <c r="E13" s="7" t="str">
        <f>IFERROR(__xludf.DUMMYFUNCTION("IF(AND(F13 &gt; 0.3, F13 &lt; 0.5), SPARKLINE(F13,{""charttype"",""bar"";""color1"",""Gold"";""max"",1}),
IF(F13 = 1, SPARKLINE(F13,{""charttype"",""bar"";""color1"",""Lime"";""max"",1}),
IF(F13 &gt;= 0.5, SPARKLINE(F13,{""charttype"",""bar"";""color1"",""GreenYel"&amp;"low"";""max"",1}),
SPARKLINE(F13,{""charttype"",""bar"";""color1"",""DarkOrange"";""max"",1}))))"),"")</f>
        <v/>
      </c>
      <c r="F13" s="8">
        <f t="shared" si="1"/>
        <v>1</v>
      </c>
      <c r="G13" s="14" t="s">
        <v>695</v>
      </c>
      <c r="H13" s="5" t="s">
        <v>141</v>
      </c>
      <c r="I13" s="10">
        <v>45909.0</v>
      </c>
      <c r="J13" s="11" t="s">
        <v>33</v>
      </c>
      <c r="K13" s="5" t="s">
        <v>457</v>
      </c>
      <c r="L13" s="10">
        <v>45965.0</v>
      </c>
      <c r="M13" s="11" t="s">
        <v>33</v>
      </c>
      <c r="N13" s="5" t="s">
        <v>141</v>
      </c>
      <c r="O13" s="10"/>
      <c r="P13" s="11" t="s">
        <v>38</v>
      </c>
      <c r="Q13" s="5" t="s">
        <v>36</v>
      </c>
      <c r="R13" s="23">
        <v>46016.0</v>
      </c>
      <c r="S13" s="12"/>
      <c r="T13" s="5" t="s">
        <v>143</v>
      </c>
      <c r="U13" s="10"/>
      <c r="V13" s="20"/>
      <c r="W13" s="5" t="s">
        <v>51</v>
      </c>
      <c r="X13" s="38">
        <v>46016.0</v>
      </c>
      <c r="Y13" s="11" t="s">
        <v>33</v>
      </c>
      <c r="Z13" s="15" t="s">
        <v>696</v>
      </c>
      <c r="AA13" s="26" t="s">
        <v>41</v>
      </c>
      <c r="AB13" s="23">
        <v>46016.0</v>
      </c>
      <c r="AC13" s="11" t="s">
        <v>33</v>
      </c>
    </row>
    <row r="14" ht="22.5" customHeight="1">
      <c r="A14" s="5">
        <v>7.0</v>
      </c>
      <c r="B14" s="21">
        <v>1.0</v>
      </c>
      <c r="C14" s="5" t="s">
        <v>697</v>
      </c>
      <c r="D14" s="16" t="s">
        <v>60</v>
      </c>
      <c r="E14" s="7" t="str">
        <f>IFERROR(__xludf.DUMMYFUNCTION("IF(AND(F14 &gt; 0.3, F14 &lt; 0.5), SPARKLINE(F14,{""charttype"",""bar"";""color1"",""Gold"";""max"",1}),
IF(F14 = 1, SPARKLINE(F14,{""charttype"",""bar"";""color1"",""Lime"";""max"",1}),
IF(F14 &gt;= 0.5, SPARKLINE(F14,{""charttype"",""bar"";""color1"",""GreenYel"&amp;"low"";""max"",1}),
SPARKLINE(F14,{""charttype"",""bar"";""color1"",""DarkOrange"";""max"",1}))))"),"")</f>
        <v/>
      </c>
      <c r="F14" s="8">
        <f t="shared" si="1"/>
        <v>1</v>
      </c>
      <c r="G14" s="14" t="s">
        <v>698</v>
      </c>
      <c r="H14" s="5" t="s">
        <v>141</v>
      </c>
      <c r="I14" s="10">
        <v>45909.0</v>
      </c>
      <c r="J14" s="11" t="s">
        <v>33</v>
      </c>
      <c r="K14" s="5" t="s">
        <v>457</v>
      </c>
      <c r="L14" s="10">
        <v>46009.0</v>
      </c>
      <c r="M14" s="11" t="s">
        <v>33</v>
      </c>
      <c r="N14" s="5" t="s">
        <v>141</v>
      </c>
      <c r="O14" s="10"/>
      <c r="P14" s="11" t="s">
        <v>38</v>
      </c>
      <c r="Q14" s="5" t="s">
        <v>36</v>
      </c>
      <c r="R14" s="23">
        <v>46035.0</v>
      </c>
      <c r="S14" s="37"/>
      <c r="T14" s="5" t="s">
        <v>143</v>
      </c>
      <c r="U14" s="10"/>
      <c r="V14" s="20"/>
      <c r="W14" s="5" t="s">
        <v>51</v>
      </c>
      <c r="X14" s="38">
        <v>46035.0</v>
      </c>
      <c r="Y14" s="11" t="s">
        <v>33</v>
      </c>
      <c r="Z14" s="15" t="s">
        <v>699</v>
      </c>
      <c r="AA14" s="26" t="s">
        <v>41</v>
      </c>
      <c r="AB14" s="23">
        <v>46035.0</v>
      </c>
      <c r="AC14" s="11" t="s">
        <v>33</v>
      </c>
    </row>
    <row r="15" ht="22.5" customHeight="1">
      <c r="A15" s="5">
        <v>7.0</v>
      </c>
      <c r="B15" s="21">
        <v>1.0</v>
      </c>
      <c r="C15" s="5" t="s">
        <v>700</v>
      </c>
      <c r="D15" s="16" t="s">
        <v>64</v>
      </c>
      <c r="E15" s="7" t="str">
        <f>IFERROR(__xludf.DUMMYFUNCTION("IF(AND(F15 &gt; 0.3, F15 &lt; 0.5), SPARKLINE(F15,{""charttype"",""bar"";""color1"",""Gold"";""max"",1}),
IF(F15 = 1, SPARKLINE(F15,{""charttype"",""bar"";""color1"",""Lime"";""max"",1}),
IF(F15 &gt;= 0.5, SPARKLINE(F15,{""charttype"",""bar"";""color1"",""GreenYel"&amp;"low"";""max"",1}),
SPARKLINE(F15,{""charttype"",""bar"";""color1"",""DarkOrange"";""max"",1}))))"),"")</f>
        <v/>
      </c>
      <c r="F15" s="8">
        <f t="shared" si="1"/>
        <v>1</v>
      </c>
      <c r="G15" s="14" t="s">
        <v>701</v>
      </c>
      <c r="H15" s="5" t="s">
        <v>141</v>
      </c>
      <c r="I15" s="10">
        <v>45909.0</v>
      </c>
      <c r="J15" s="11" t="s">
        <v>33</v>
      </c>
      <c r="K15" s="5" t="s">
        <v>457</v>
      </c>
      <c r="L15" s="10">
        <v>46009.0</v>
      </c>
      <c r="M15" s="11" t="s">
        <v>33</v>
      </c>
      <c r="N15" s="5" t="s">
        <v>141</v>
      </c>
      <c r="O15" s="10"/>
      <c r="P15" s="11" t="s">
        <v>38</v>
      </c>
      <c r="Q15" s="5" t="s">
        <v>36</v>
      </c>
      <c r="R15" s="23">
        <v>46038.0</v>
      </c>
      <c r="S15" s="37"/>
      <c r="T15" s="5" t="s">
        <v>143</v>
      </c>
      <c r="U15" s="10"/>
      <c r="V15" s="20"/>
      <c r="W15" s="5" t="s">
        <v>51</v>
      </c>
      <c r="X15" s="38">
        <v>46038.0</v>
      </c>
      <c r="Y15" s="11" t="s">
        <v>33</v>
      </c>
      <c r="Z15" s="15" t="s">
        <v>702</v>
      </c>
      <c r="AA15" s="26" t="s">
        <v>41</v>
      </c>
      <c r="AB15" s="23">
        <v>46038.0</v>
      </c>
      <c r="AC15" s="11" t="s">
        <v>33</v>
      </c>
    </row>
    <row r="16" ht="22.5" customHeight="1">
      <c r="A16" s="5">
        <v>7.0</v>
      </c>
      <c r="B16" s="21">
        <v>1.0</v>
      </c>
      <c r="C16" s="5" t="s">
        <v>703</v>
      </c>
      <c r="D16" s="16" t="s">
        <v>68</v>
      </c>
      <c r="E16" s="7" t="str">
        <f>IFERROR(__xludf.DUMMYFUNCTION("IF(AND(F16 &gt; 0.3, F16 &lt; 0.5), SPARKLINE(F16,{""charttype"",""bar"";""color1"",""Gold"";""max"",1}),
IF(F16 = 1, SPARKLINE(F16,{""charttype"",""bar"";""color1"",""Lime"";""max"",1}),
IF(F16 &gt;= 0.5, SPARKLINE(F16,{""charttype"",""bar"";""color1"",""GreenYel"&amp;"low"";""max"",1}),
SPARKLINE(F16,{""charttype"",""bar"";""color1"",""DarkOrange"";""max"",1}))))"),"")</f>
        <v/>
      </c>
      <c r="F16" s="8">
        <f t="shared" si="1"/>
        <v>1</v>
      </c>
      <c r="G16" s="14" t="s">
        <v>703</v>
      </c>
      <c r="H16" s="5" t="s">
        <v>141</v>
      </c>
      <c r="I16" s="10">
        <v>45909.0</v>
      </c>
      <c r="J16" s="11" t="s">
        <v>33</v>
      </c>
      <c r="K16" s="5" t="s">
        <v>457</v>
      </c>
      <c r="L16" s="10">
        <v>46009.0</v>
      </c>
      <c r="M16" s="11" t="s">
        <v>33</v>
      </c>
      <c r="N16" s="5" t="s">
        <v>141</v>
      </c>
      <c r="O16" s="10"/>
      <c r="P16" s="11" t="s">
        <v>38</v>
      </c>
      <c r="Q16" s="5" t="s">
        <v>36</v>
      </c>
      <c r="R16" s="23">
        <v>46043.0</v>
      </c>
      <c r="S16" s="37"/>
      <c r="T16" s="5" t="s">
        <v>143</v>
      </c>
      <c r="U16" s="10"/>
      <c r="V16" s="20"/>
      <c r="W16" s="5" t="s">
        <v>51</v>
      </c>
      <c r="X16" s="38">
        <v>46043.0</v>
      </c>
      <c r="Y16" s="11" t="s">
        <v>33</v>
      </c>
      <c r="Z16" s="15" t="s">
        <v>704</v>
      </c>
      <c r="AA16" s="26" t="s">
        <v>41</v>
      </c>
      <c r="AB16" s="23">
        <v>46043.0</v>
      </c>
      <c r="AC16" s="11" t="s">
        <v>33</v>
      </c>
    </row>
    <row r="17" ht="22.5" customHeight="1">
      <c r="A17" s="5">
        <v>7.0</v>
      </c>
      <c r="B17" s="21">
        <v>2.0</v>
      </c>
      <c r="C17" s="5" t="s">
        <v>705</v>
      </c>
      <c r="D17" s="16" t="s">
        <v>30</v>
      </c>
      <c r="E17" s="7" t="str">
        <f>IFERROR(__xludf.DUMMYFUNCTION("IF(AND(F17 &gt; 0.3, F17 &lt; 0.5), SPARKLINE(F17,{""charttype"",""bar"";""color1"",""Gold"";""max"",1}),
IF(F17 = 1, SPARKLINE(F17,{""charttype"",""bar"";""color1"",""Lime"";""max"",1}),
IF(F17 &gt;= 0.5, SPARKLINE(F17,{""charttype"",""bar"";""color1"",""GreenYel"&amp;"low"";""max"",1}),
SPARKLINE(F17,{""charttype"",""bar"";""color1"",""DarkOrange"";""max"",1}))))"),"")</f>
        <v/>
      </c>
      <c r="F17" s="8">
        <f t="shared" si="1"/>
        <v>1</v>
      </c>
      <c r="G17" s="14" t="s">
        <v>706</v>
      </c>
      <c r="H17" s="5" t="s">
        <v>141</v>
      </c>
      <c r="I17" s="10">
        <v>45909.0</v>
      </c>
      <c r="J17" s="11" t="s">
        <v>33</v>
      </c>
      <c r="K17" s="5" t="s">
        <v>457</v>
      </c>
      <c r="L17" s="10">
        <v>45965.0</v>
      </c>
      <c r="M17" s="11" t="s">
        <v>33</v>
      </c>
      <c r="N17" s="5" t="s">
        <v>141</v>
      </c>
      <c r="O17" s="10">
        <v>45912.0</v>
      </c>
      <c r="P17" s="11" t="s">
        <v>33</v>
      </c>
      <c r="Q17" s="5" t="s">
        <v>36</v>
      </c>
      <c r="R17" s="23">
        <v>46013.0</v>
      </c>
      <c r="S17" s="12"/>
      <c r="T17" s="5" t="s">
        <v>143</v>
      </c>
      <c r="U17" s="10"/>
      <c r="V17" s="20"/>
      <c r="W17" s="5" t="s">
        <v>144</v>
      </c>
      <c r="X17" s="38">
        <v>46013.0</v>
      </c>
      <c r="Y17" s="11" t="s">
        <v>33</v>
      </c>
      <c r="Z17" s="39" t="s">
        <v>707</v>
      </c>
      <c r="AA17" s="26" t="s">
        <v>41</v>
      </c>
      <c r="AB17" s="23">
        <v>46013.0</v>
      </c>
      <c r="AC17" s="11" t="s">
        <v>33</v>
      </c>
    </row>
    <row r="18" ht="22.5" customHeight="1">
      <c r="A18" s="5">
        <v>7.0</v>
      </c>
      <c r="B18" s="21">
        <v>2.0</v>
      </c>
      <c r="C18" s="5" t="s">
        <v>708</v>
      </c>
      <c r="D18" s="16" t="s">
        <v>30</v>
      </c>
      <c r="E18" s="7" t="str">
        <f>IFERROR(__xludf.DUMMYFUNCTION("IF(AND(F18 &gt; 0.3, F18 &lt; 0.5), SPARKLINE(F18,{""charttype"",""bar"";""color1"",""Gold"";""max"",1}),
IF(F18 = 1, SPARKLINE(F18,{""charttype"",""bar"";""color1"",""Lime"";""max"",1}),
IF(F18 &gt;= 0.5, SPARKLINE(F18,{""charttype"",""bar"";""color1"",""GreenYel"&amp;"low"";""max"",1}),
SPARKLINE(F18,{""charttype"",""bar"";""color1"",""DarkOrange"";""max"",1}))))"),"")</f>
        <v/>
      </c>
      <c r="F18" s="8">
        <f t="shared" si="1"/>
        <v>1</v>
      </c>
      <c r="G18" s="14" t="s">
        <v>709</v>
      </c>
      <c r="H18" s="5" t="s">
        <v>141</v>
      </c>
      <c r="I18" s="10">
        <v>45909.0</v>
      </c>
      <c r="J18" s="11" t="s">
        <v>33</v>
      </c>
      <c r="K18" s="5" t="s">
        <v>457</v>
      </c>
      <c r="L18" s="10">
        <v>45965.0</v>
      </c>
      <c r="M18" s="11" t="s">
        <v>33</v>
      </c>
      <c r="N18" s="5" t="s">
        <v>141</v>
      </c>
      <c r="O18" s="10">
        <v>45912.0</v>
      </c>
      <c r="P18" s="11" t="s">
        <v>33</v>
      </c>
      <c r="Q18" s="5" t="s">
        <v>36</v>
      </c>
      <c r="R18" s="23">
        <v>46013.0</v>
      </c>
      <c r="S18" s="12"/>
      <c r="T18" s="5" t="s">
        <v>143</v>
      </c>
      <c r="U18" s="10"/>
      <c r="V18" s="20"/>
      <c r="W18" s="5" t="s">
        <v>144</v>
      </c>
      <c r="X18" s="38">
        <v>46013.0</v>
      </c>
      <c r="Y18" s="11" t="s">
        <v>33</v>
      </c>
      <c r="Z18" s="39" t="s">
        <v>710</v>
      </c>
      <c r="AA18" s="26" t="s">
        <v>41</v>
      </c>
      <c r="AB18" s="23">
        <v>46013.0</v>
      </c>
      <c r="AC18" s="11" t="s">
        <v>33</v>
      </c>
    </row>
    <row r="19" ht="22.5" customHeight="1">
      <c r="A19" s="5">
        <v>7.0</v>
      </c>
      <c r="B19" s="21">
        <v>2.0</v>
      </c>
      <c r="C19" s="5" t="s">
        <v>711</v>
      </c>
      <c r="D19" s="16" t="s">
        <v>30</v>
      </c>
      <c r="E19" s="7" t="str">
        <f>IFERROR(__xludf.DUMMYFUNCTION("IF(AND(F19 &gt; 0.3, F19 &lt; 0.5), SPARKLINE(F19,{""charttype"",""bar"";""color1"",""Gold"";""max"",1}),
IF(F19 = 1, SPARKLINE(F19,{""charttype"",""bar"";""color1"",""Lime"";""max"",1}),
IF(F19 &gt;= 0.5, SPARKLINE(F19,{""charttype"",""bar"";""color1"",""GreenYel"&amp;"low"";""max"",1}),
SPARKLINE(F19,{""charttype"",""bar"";""color1"",""DarkOrange"";""max"",1}))))"),"")</f>
        <v/>
      </c>
      <c r="F19" s="8">
        <f t="shared" si="1"/>
        <v>1</v>
      </c>
      <c r="G19" s="14" t="s">
        <v>712</v>
      </c>
      <c r="H19" s="5" t="s">
        <v>141</v>
      </c>
      <c r="I19" s="10">
        <v>45909.0</v>
      </c>
      <c r="J19" s="11" t="s">
        <v>33</v>
      </c>
      <c r="K19" s="5" t="s">
        <v>457</v>
      </c>
      <c r="L19" s="10">
        <v>45965.0</v>
      </c>
      <c r="M19" s="11" t="s">
        <v>33</v>
      </c>
      <c r="N19" s="5" t="s">
        <v>141</v>
      </c>
      <c r="O19" s="10">
        <v>45912.0</v>
      </c>
      <c r="P19" s="11" t="s">
        <v>33</v>
      </c>
      <c r="Q19" s="5" t="s">
        <v>36</v>
      </c>
      <c r="R19" s="23">
        <v>46013.0</v>
      </c>
      <c r="S19" s="12"/>
      <c r="T19" s="5" t="s">
        <v>143</v>
      </c>
      <c r="U19" s="10"/>
      <c r="V19" s="20"/>
      <c r="W19" s="5" t="s">
        <v>144</v>
      </c>
      <c r="X19" s="38">
        <v>46013.0</v>
      </c>
      <c r="Y19" s="11" t="s">
        <v>33</v>
      </c>
      <c r="Z19" s="39" t="s">
        <v>713</v>
      </c>
      <c r="AA19" s="26" t="s">
        <v>41</v>
      </c>
      <c r="AB19" s="23">
        <v>46013.0</v>
      </c>
      <c r="AC19" s="11" t="s">
        <v>33</v>
      </c>
    </row>
    <row r="20" ht="22.5" customHeight="1">
      <c r="A20" s="5">
        <v>7.0</v>
      </c>
      <c r="B20" s="21">
        <v>2.0</v>
      </c>
      <c r="C20" s="5" t="s">
        <v>714</v>
      </c>
      <c r="D20" s="16" t="s">
        <v>49</v>
      </c>
      <c r="E20" s="7" t="str">
        <f>IFERROR(__xludf.DUMMYFUNCTION("IF(AND(F20 &gt; 0.3, F20 &lt; 0.5), SPARKLINE(F20,{""charttype"",""bar"";""color1"",""Gold"";""max"",1}),
IF(F20 = 1, SPARKLINE(F20,{""charttype"",""bar"";""color1"",""Lime"";""max"",1}),
IF(F20 &gt;= 0.5, SPARKLINE(F20,{""charttype"",""bar"";""color1"",""GreenYel"&amp;"low"";""max"",1}),
SPARKLINE(F20,{""charttype"",""bar"";""color1"",""DarkOrange"";""max"",1}))))"),"")</f>
        <v/>
      </c>
      <c r="F20" s="8">
        <f t="shared" si="1"/>
        <v>1</v>
      </c>
      <c r="G20" s="14" t="s">
        <v>715</v>
      </c>
      <c r="H20" s="5" t="s">
        <v>141</v>
      </c>
      <c r="I20" s="10">
        <v>45909.0</v>
      </c>
      <c r="J20" s="11" t="s">
        <v>33</v>
      </c>
      <c r="K20" s="5" t="s">
        <v>457</v>
      </c>
      <c r="L20" s="10">
        <v>45965.0</v>
      </c>
      <c r="M20" s="11" t="s">
        <v>33</v>
      </c>
      <c r="N20" s="5" t="s">
        <v>141</v>
      </c>
      <c r="O20" s="10"/>
      <c r="P20" s="11" t="s">
        <v>38</v>
      </c>
      <c r="Q20" s="5" t="s">
        <v>36</v>
      </c>
      <c r="R20" s="23">
        <v>46022.0</v>
      </c>
      <c r="S20" s="12"/>
      <c r="T20" s="5" t="s">
        <v>143</v>
      </c>
      <c r="U20" s="10"/>
      <c r="V20" s="20"/>
      <c r="W20" s="5" t="s">
        <v>51</v>
      </c>
      <c r="X20" s="38">
        <v>46022.0</v>
      </c>
      <c r="Y20" s="11" t="s">
        <v>33</v>
      </c>
      <c r="Z20" s="14" t="s">
        <v>716</v>
      </c>
      <c r="AA20" s="26" t="s">
        <v>41</v>
      </c>
      <c r="AB20" s="23">
        <v>46022.0</v>
      </c>
      <c r="AC20" s="11" t="s">
        <v>33</v>
      </c>
    </row>
    <row r="21" ht="22.5" customHeight="1">
      <c r="A21" s="5">
        <v>7.0</v>
      </c>
      <c r="B21" s="21">
        <v>2.0</v>
      </c>
      <c r="C21" s="5" t="s">
        <v>717</v>
      </c>
      <c r="D21" s="16" t="s">
        <v>49</v>
      </c>
      <c r="E21" s="7" t="str">
        <f>IFERROR(__xludf.DUMMYFUNCTION("IF(AND(F21 &gt; 0.3, F21 &lt; 0.5), SPARKLINE(F21,{""charttype"",""bar"";""color1"",""Gold"";""max"",1}),
IF(F21 = 1, SPARKLINE(F21,{""charttype"",""bar"";""color1"",""Lime"";""max"",1}),
IF(F21 &gt;= 0.5, SPARKLINE(F21,{""charttype"",""bar"";""color1"",""GreenYel"&amp;"low"";""max"",1}),
SPARKLINE(F21,{""charttype"",""bar"";""color1"",""DarkOrange"";""max"",1}))))"),"")</f>
        <v/>
      </c>
      <c r="F21" s="8">
        <f t="shared" si="1"/>
        <v>1</v>
      </c>
      <c r="G21" s="14" t="s">
        <v>718</v>
      </c>
      <c r="H21" s="5" t="s">
        <v>141</v>
      </c>
      <c r="I21" s="10">
        <v>45909.0</v>
      </c>
      <c r="J21" s="11" t="s">
        <v>33</v>
      </c>
      <c r="K21" s="5" t="s">
        <v>457</v>
      </c>
      <c r="L21" s="10">
        <v>45965.0</v>
      </c>
      <c r="M21" s="11" t="s">
        <v>33</v>
      </c>
      <c r="N21" s="5" t="s">
        <v>141</v>
      </c>
      <c r="O21" s="10"/>
      <c r="P21" s="11" t="s">
        <v>38</v>
      </c>
      <c r="Q21" s="5" t="s">
        <v>36</v>
      </c>
      <c r="R21" s="23">
        <v>46022.0</v>
      </c>
      <c r="S21" s="12"/>
      <c r="T21" s="5" t="s">
        <v>143</v>
      </c>
      <c r="U21" s="10"/>
      <c r="V21" s="20"/>
      <c r="W21" s="5" t="s">
        <v>51</v>
      </c>
      <c r="X21" s="38">
        <v>46022.0</v>
      </c>
      <c r="Y21" s="11" t="s">
        <v>33</v>
      </c>
      <c r="Z21" s="14" t="s">
        <v>719</v>
      </c>
      <c r="AA21" s="26" t="s">
        <v>41</v>
      </c>
      <c r="AB21" s="23">
        <v>46022.0</v>
      </c>
      <c r="AC21" s="11" t="s">
        <v>33</v>
      </c>
    </row>
    <row r="22" ht="22.5" customHeight="1">
      <c r="A22" s="5">
        <v>7.0</v>
      </c>
      <c r="B22" s="21">
        <v>2.0</v>
      </c>
      <c r="C22" s="5" t="s">
        <v>720</v>
      </c>
      <c r="D22" s="16" t="s">
        <v>49</v>
      </c>
      <c r="E22" s="7" t="str">
        <f>IFERROR(__xludf.DUMMYFUNCTION("IF(AND(F22 &gt; 0.3, F22 &lt; 0.5), SPARKLINE(F22,{""charttype"",""bar"";""color1"",""Gold"";""max"",1}),
IF(F22 = 1, SPARKLINE(F22,{""charttype"",""bar"";""color1"",""Lime"";""max"",1}),
IF(F22 &gt;= 0.5, SPARKLINE(F22,{""charttype"",""bar"";""color1"",""GreenYel"&amp;"low"";""max"",1}),
SPARKLINE(F22,{""charttype"",""bar"";""color1"",""DarkOrange"";""max"",1}))))"),"")</f>
        <v/>
      </c>
      <c r="F22" s="8">
        <f t="shared" si="1"/>
        <v>1</v>
      </c>
      <c r="G22" s="14" t="s">
        <v>721</v>
      </c>
      <c r="H22" s="5" t="s">
        <v>141</v>
      </c>
      <c r="I22" s="10">
        <v>45909.0</v>
      </c>
      <c r="J22" s="11" t="s">
        <v>33</v>
      </c>
      <c r="K22" s="5" t="s">
        <v>457</v>
      </c>
      <c r="L22" s="10">
        <v>45965.0</v>
      </c>
      <c r="M22" s="11" t="s">
        <v>33</v>
      </c>
      <c r="N22" s="5" t="s">
        <v>141</v>
      </c>
      <c r="O22" s="10"/>
      <c r="P22" s="11" t="s">
        <v>38</v>
      </c>
      <c r="Q22" s="5" t="s">
        <v>36</v>
      </c>
      <c r="R22" s="23">
        <v>46022.0</v>
      </c>
      <c r="S22" s="12"/>
      <c r="T22" s="5" t="s">
        <v>143</v>
      </c>
      <c r="U22" s="10"/>
      <c r="V22" s="20"/>
      <c r="W22" s="5" t="s">
        <v>51</v>
      </c>
      <c r="X22" s="38">
        <v>46022.0</v>
      </c>
      <c r="Y22" s="11" t="s">
        <v>33</v>
      </c>
      <c r="Z22" s="14" t="s">
        <v>722</v>
      </c>
      <c r="AA22" s="26" t="s">
        <v>41</v>
      </c>
      <c r="AB22" s="23">
        <v>46022.0</v>
      </c>
      <c r="AC22" s="11" t="s">
        <v>33</v>
      </c>
    </row>
    <row r="23" ht="22.5" customHeight="1">
      <c r="A23" s="5">
        <v>7.0</v>
      </c>
      <c r="B23" s="21">
        <v>2.0</v>
      </c>
      <c r="C23" s="5" t="s">
        <v>723</v>
      </c>
      <c r="D23" s="16" t="s">
        <v>60</v>
      </c>
      <c r="E23" s="7" t="str">
        <f>IFERROR(__xludf.DUMMYFUNCTION("IF(AND(F23 &gt; 0.3, F23 &lt; 0.5), SPARKLINE(F23,{""charttype"",""bar"";""color1"",""Gold"";""max"",1}),
IF(F23 = 1, SPARKLINE(F23,{""charttype"",""bar"";""color1"",""Lime"";""max"",1}),
IF(F23 &gt;= 0.5, SPARKLINE(F23,{""charttype"",""bar"";""color1"",""GreenYel"&amp;"low"";""max"",1}),
SPARKLINE(F23,{""charttype"",""bar"";""color1"",""DarkOrange"";""max"",1}))))"),"")</f>
        <v/>
      </c>
      <c r="F23" s="8">
        <f t="shared" si="1"/>
        <v>0.5</v>
      </c>
      <c r="G23" s="14" t="s">
        <v>724</v>
      </c>
      <c r="H23" s="5" t="s">
        <v>141</v>
      </c>
      <c r="I23" s="10">
        <v>45909.0</v>
      </c>
      <c r="J23" s="11" t="s">
        <v>33</v>
      </c>
      <c r="K23" s="5" t="s">
        <v>457</v>
      </c>
      <c r="L23" s="10">
        <v>46009.0</v>
      </c>
      <c r="M23" s="11" t="s">
        <v>33</v>
      </c>
      <c r="N23" s="5" t="s">
        <v>141</v>
      </c>
      <c r="O23" s="10"/>
      <c r="P23" s="11" t="s">
        <v>38</v>
      </c>
      <c r="Q23" s="5" t="s">
        <v>36</v>
      </c>
      <c r="R23" s="23">
        <v>46035.0</v>
      </c>
      <c r="S23" s="37"/>
      <c r="T23" s="5" t="s">
        <v>143</v>
      </c>
      <c r="U23" s="10"/>
      <c r="V23" s="20"/>
      <c r="W23" s="5" t="s">
        <v>51</v>
      </c>
      <c r="X23" s="38">
        <v>46035.0</v>
      </c>
      <c r="Y23" s="20"/>
      <c r="Z23" s="19"/>
      <c r="AA23" s="26" t="s">
        <v>41</v>
      </c>
      <c r="AB23" s="23">
        <v>46035.0</v>
      </c>
      <c r="AC23" s="20"/>
    </row>
    <row r="24" ht="22.5" customHeight="1">
      <c r="A24" s="5">
        <v>7.0</v>
      </c>
      <c r="B24" s="21">
        <v>2.0</v>
      </c>
      <c r="C24" s="5" t="s">
        <v>725</v>
      </c>
      <c r="D24" s="16" t="s">
        <v>64</v>
      </c>
      <c r="E24" s="7" t="str">
        <f>IFERROR(__xludf.DUMMYFUNCTION("IF(AND(F24 &gt; 0.3, F24 &lt; 0.5), SPARKLINE(F24,{""charttype"",""bar"";""color1"",""Gold"";""max"",1}),
IF(F24 = 1, SPARKLINE(F24,{""charttype"",""bar"";""color1"",""Lime"";""max"",1}),
IF(F24 &gt;= 0.5, SPARKLINE(F24,{""charttype"",""bar"";""color1"",""GreenYel"&amp;"low"";""max"",1}),
SPARKLINE(F24,{""charttype"",""bar"";""color1"",""DarkOrange"";""max"",1}))))"),"")</f>
        <v/>
      </c>
      <c r="F24" s="8">
        <f t="shared" si="1"/>
        <v>0.5</v>
      </c>
      <c r="G24" s="14" t="s">
        <v>726</v>
      </c>
      <c r="H24" s="5" t="s">
        <v>141</v>
      </c>
      <c r="I24" s="10">
        <v>45909.0</v>
      </c>
      <c r="J24" s="11" t="s">
        <v>33</v>
      </c>
      <c r="K24" s="5" t="s">
        <v>457</v>
      </c>
      <c r="L24" s="10">
        <v>46009.0</v>
      </c>
      <c r="M24" s="11" t="s">
        <v>33</v>
      </c>
      <c r="N24" s="5" t="s">
        <v>141</v>
      </c>
      <c r="O24" s="10"/>
      <c r="P24" s="11" t="s">
        <v>38</v>
      </c>
      <c r="Q24" s="5" t="s">
        <v>36</v>
      </c>
      <c r="R24" s="23">
        <v>46038.0</v>
      </c>
      <c r="S24" s="37"/>
      <c r="T24" s="5" t="s">
        <v>143</v>
      </c>
      <c r="U24" s="10"/>
      <c r="V24" s="20"/>
      <c r="W24" s="5" t="s">
        <v>51</v>
      </c>
      <c r="X24" s="38">
        <v>46038.0</v>
      </c>
      <c r="Y24" s="20"/>
      <c r="Z24" s="19"/>
      <c r="AA24" s="26" t="s">
        <v>41</v>
      </c>
      <c r="AB24" s="23">
        <v>46038.0</v>
      </c>
      <c r="AC24" s="20"/>
    </row>
    <row r="25" ht="22.5" customHeight="1">
      <c r="A25" s="5">
        <v>7.0</v>
      </c>
      <c r="B25" s="21">
        <v>3.0</v>
      </c>
      <c r="C25" s="5" t="s">
        <v>727</v>
      </c>
      <c r="D25" s="16" t="s">
        <v>30</v>
      </c>
      <c r="E25" s="7" t="str">
        <f>IFERROR(__xludf.DUMMYFUNCTION("IF(AND(F25 &gt; 0.3, F25 &lt; 0.5), SPARKLINE(F25,{""charttype"",""bar"";""color1"",""Gold"";""max"",1}),
IF(F25 = 1, SPARKLINE(F25,{""charttype"",""bar"";""color1"",""Lime"";""max"",1}),
IF(F25 &gt;= 0.5, SPARKLINE(F25,{""charttype"",""bar"";""color1"",""GreenYel"&amp;"low"";""max"",1}),
SPARKLINE(F25,{""charttype"",""bar"";""color1"",""DarkOrange"";""max"",1}))))"),"")</f>
        <v/>
      </c>
      <c r="F25" s="8">
        <f t="shared" si="1"/>
        <v>0.8</v>
      </c>
      <c r="G25" s="14" t="s">
        <v>728</v>
      </c>
      <c r="H25" s="5" t="s">
        <v>141</v>
      </c>
      <c r="I25" s="10">
        <v>45912.0</v>
      </c>
      <c r="J25" s="11" t="s">
        <v>33</v>
      </c>
      <c r="K25" s="5" t="s">
        <v>457</v>
      </c>
      <c r="L25" s="10">
        <v>46009.0</v>
      </c>
      <c r="M25" s="11" t="s">
        <v>38</v>
      </c>
      <c r="N25" s="5" t="s">
        <v>141</v>
      </c>
      <c r="O25" s="10">
        <v>45994.0</v>
      </c>
      <c r="P25" s="11" t="s">
        <v>33</v>
      </c>
      <c r="Q25" s="5" t="s">
        <v>36</v>
      </c>
      <c r="R25" s="23">
        <v>46013.0</v>
      </c>
      <c r="S25" s="12" t="s">
        <v>38</v>
      </c>
      <c r="T25" s="5" t="s">
        <v>143</v>
      </c>
      <c r="U25" s="10"/>
      <c r="V25" s="20"/>
      <c r="W25" s="5" t="s">
        <v>144</v>
      </c>
      <c r="X25" s="38">
        <v>46013.0</v>
      </c>
      <c r="Y25" s="11" t="s">
        <v>33</v>
      </c>
      <c r="Z25" s="39" t="s">
        <v>729</v>
      </c>
      <c r="AA25" s="26" t="s">
        <v>41</v>
      </c>
      <c r="AB25" s="23">
        <v>46013.0</v>
      </c>
      <c r="AC25" s="11" t="s">
        <v>33</v>
      </c>
    </row>
    <row r="26" ht="22.5" customHeight="1">
      <c r="A26" s="5">
        <v>7.0</v>
      </c>
      <c r="B26" s="21">
        <v>3.0</v>
      </c>
      <c r="C26" s="5" t="s">
        <v>730</v>
      </c>
      <c r="D26" s="16" t="s">
        <v>30</v>
      </c>
      <c r="E26" s="7" t="str">
        <f>IFERROR(__xludf.DUMMYFUNCTION("IF(AND(F26 &gt; 0.3, F26 &lt; 0.5), SPARKLINE(F26,{""charttype"",""bar"";""color1"",""Gold"";""max"",1}),
IF(F26 = 1, SPARKLINE(F26,{""charttype"",""bar"";""color1"",""Lime"";""max"",1}),
IF(F26 &gt;= 0.5, SPARKLINE(F26,{""charttype"",""bar"";""color1"",""GreenYel"&amp;"low"";""max"",1}),
SPARKLINE(F26,{""charttype"",""bar"";""color1"",""DarkOrange"";""max"",1}))))"),"")</f>
        <v/>
      </c>
      <c r="F26" s="8">
        <f t="shared" si="1"/>
        <v>0.8</v>
      </c>
      <c r="G26" s="14" t="s">
        <v>731</v>
      </c>
      <c r="H26" s="5" t="s">
        <v>141</v>
      </c>
      <c r="I26" s="10">
        <v>45912.0</v>
      </c>
      <c r="J26" s="11" t="s">
        <v>33</v>
      </c>
      <c r="K26" s="5" t="s">
        <v>457</v>
      </c>
      <c r="L26" s="10">
        <v>46009.0</v>
      </c>
      <c r="M26" s="11" t="s">
        <v>38</v>
      </c>
      <c r="N26" s="5" t="s">
        <v>141</v>
      </c>
      <c r="O26" s="10">
        <v>45994.0</v>
      </c>
      <c r="P26" s="11" t="s">
        <v>33</v>
      </c>
      <c r="Q26" s="5" t="s">
        <v>36</v>
      </c>
      <c r="R26" s="23">
        <v>46013.0</v>
      </c>
      <c r="S26" s="12" t="s">
        <v>38</v>
      </c>
      <c r="T26" s="5" t="s">
        <v>143</v>
      </c>
      <c r="U26" s="10"/>
      <c r="V26" s="20"/>
      <c r="W26" s="5" t="s">
        <v>144</v>
      </c>
      <c r="X26" s="38">
        <v>46013.0</v>
      </c>
      <c r="Y26" s="11" t="s">
        <v>33</v>
      </c>
      <c r="Z26" s="39" t="s">
        <v>732</v>
      </c>
      <c r="AA26" s="26" t="s">
        <v>41</v>
      </c>
      <c r="AB26" s="23">
        <v>46013.0</v>
      </c>
      <c r="AC26" s="11" t="s">
        <v>33</v>
      </c>
    </row>
    <row r="27" ht="22.5" customHeight="1">
      <c r="A27" s="5">
        <v>7.0</v>
      </c>
      <c r="B27" s="21">
        <v>3.0</v>
      </c>
      <c r="C27" s="5" t="s">
        <v>733</v>
      </c>
      <c r="D27" s="16" t="s">
        <v>30</v>
      </c>
      <c r="E27" s="7" t="str">
        <f>IFERROR(__xludf.DUMMYFUNCTION("IF(AND(F27 &gt; 0.3, F27 &lt; 0.5), SPARKLINE(F27,{""charttype"",""bar"";""color1"",""Gold"";""max"",1}),
IF(F27 = 1, SPARKLINE(F27,{""charttype"",""bar"";""color1"",""Lime"";""max"",1}),
IF(F27 &gt;= 0.5, SPARKLINE(F27,{""charttype"",""bar"";""color1"",""GreenYel"&amp;"low"";""max"",1}),
SPARKLINE(F27,{""charttype"",""bar"";""color1"",""DarkOrange"";""max"",1}))))"),"")</f>
        <v/>
      </c>
      <c r="F27" s="8">
        <f t="shared" si="1"/>
        <v>0.8</v>
      </c>
      <c r="G27" s="14" t="s">
        <v>734</v>
      </c>
      <c r="H27" s="5" t="s">
        <v>141</v>
      </c>
      <c r="I27" s="10">
        <v>45912.0</v>
      </c>
      <c r="J27" s="11" t="s">
        <v>33</v>
      </c>
      <c r="K27" s="5" t="s">
        <v>457</v>
      </c>
      <c r="L27" s="10">
        <v>46009.0</v>
      </c>
      <c r="M27" s="11" t="s">
        <v>38</v>
      </c>
      <c r="N27" s="5" t="s">
        <v>141</v>
      </c>
      <c r="O27" s="10">
        <v>45994.0</v>
      </c>
      <c r="P27" s="11" t="s">
        <v>33</v>
      </c>
      <c r="Q27" s="5" t="s">
        <v>36</v>
      </c>
      <c r="R27" s="23">
        <v>46013.0</v>
      </c>
      <c r="S27" s="12" t="s">
        <v>38</v>
      </c>
      <c r="T27" s="5" t="s">
        <v>143</v>
      </c>
      <c r="U27" s="10"/>
      <c r="V27" s="20"/>
      <c r="W27" s="5" t="s">
        <v>144</v>
      </c>
      <c r="X27" s="38">
        <v>46013.0</v>
      </c>
      <c r="Y27" s="11" t="s">
        <v>33</v>
      </c>
      <c r="Z27" s="39" t="s">
        <v>735</v>
      </c>
      <c r="AA27" s="26" t="s">
        <v>41</v>
      </c>
      <c r="AB27" s="23">
        <v>46013.0</v>
      </c>
      <c r="AC27" s="11" t="s">
        <v>33</v>
      </c>
    </row>
    <row r="28" ht="22.5" customHeight="1">
      <c r="A28" s="5">
        <v>7.0</v>
      </c>
      <c r="B28" s="21">
        <v>3.0</v>
      </c>
      <c r="C28" s="5" t="s">
        <v>736</v>
      </c>
      <c r="D28" s="16" t="s">
        <v>30</v>
      </c>
      <c r="E28" s="7" t="str">
        <f>IFERROR(__xludf.DUMMYFUNCTION("IF(AND(F28 &gt; 0.3, F28 &lt; 0.5), SPARKLINE(F28,{""charttype"",""bar"";""color1"",""Gold"";""max"",1}),
IF(F28 = 1, SPARKLINE(F28,{""charttype"",""bar"";""color1"",""Lime"";""max"",1}),
IF(F28 &gt;= 0.5, SPARKLINE(F28,{""charttype"",""bar"";""color1"",""GreenYel"&amp;"low"";""max"",1}),
SPARKLINE(F28,{""charttype"",""bar"";""color1"",""DarkOrange"";""max"",1}))))"),"")</f>
        <v/>
      </c>
      <c r="F28" s="8">
        <f t="shared" si="1"/>
        <v>0.8</v>
      </c>
      <c r="G28" s="14" t="s">
        <v>737</v>
      </c>
      <c r="H28" s="5" t="s">
        <v>141</v>
      </c>
      <c r="I28" s="10">
        <v>45912.0</v>
      </c>
      <c r="J28" s="11" t="s">
        <v>33</v>
      </c>
      <c r="K28" s="5" t="s">
        <v>457</v>
      </c>
      <c r="L28" s="10">
        <v>46009.0</v>
      </c>
      <c r="M28" s="11" t="s">
        <v>38</v>
      </c>
      <c r="N28" s="5" t="s">
        <v>141</v>
      </c>
      <c r="O28" s="10">
        <v>45994.0</v>
      </c>
      <c r="P28" s="11" t="s">
        <v>33</v>
      </c>
      <c r="Q28" s="5" t="s">
        <v>36</v>
      </c>
      <c r="R28" s="23">
        <v>46013.0</v>
      </c>
      <c r="S28" s="12" t="s">
        <v>38</v>
      </c>
      <c r="T28" s="5" t="s">
        <v>143</v>
      </c>
      <c r="U28" s="10"/>
      <c r="V28" s="20"/>
      <c r="W28" s="5" t="s">
        <v>144</v>
      </c>
      <c r="X28" s="38">
        <v>46013.0</v>
      </c>
      <c r="Y28" s="11" t="s">
        <v>33</v>
      </c>
      <c r="Z28" s="39" t="s">
        <v>738</v>
      </c>
      <c r="AA28" s="26" t="s">
        <v>41</v>
      </c>
      <c r="AB28" s="23">
        <v>46013.0</v>
      </c>
      <c r="AC28" s="11" t="s">
        <v>33</v>
      </c>
    </row>
    <row r="29" ht="22.5" customHeight="1">
      <c r="A29" s="5">
        <v>7.0</v>
      </c>
      <c r="B29" s="21">
        <v>3.0</v>
      </c>
      <c r="C29" s="5" t="s">
        <v>739</v>
      </c>
      <c r="D29" s="16" t="s">
        <v>30</v>
      </c>
      <c r="E29" s="7" t="str">
        <f>IFERROR(__xludf.DUMMYFUNCTION("IF(AND(F29 &gt; 0.3, F29 &lt; 0.5), SPARKLINE(F29,{""charttype"",""bar"";""color1"",""Gold"";""max"",1}),
IF(F29 = 1, SPARKLINE(F29,{""charttype"",""bar"";""color1"",""Lime"";""max"",1}),
IF(F29 &gt;= 0.5, SPARKLINE(F29,{""charttype"",""bar"";""color1"",""GreenYel"&amp;"low"";""max"",1}),
SPARKLINE(F29,{""charttype"",""bar"";""color1"",""DarkOrange"";""max"",1}))))"),"")</f>
        <v/>
      </c>
      <c r="F29" s="8">
        <f t="shared" si="1"/>
        <v>0.8</v>
      </c>
      <c r="G29" s="14" t="s">
        <v>740</v>
      </c>
      <c r="H29" s="5" t="s">
        <v>141</v>
      </c>
      <c r="I29" s="10">
        <v>45912.0</v>
      </c>
      <c r="J29" s="11" t="s">
        <v>33</v>
      </c>
      <c r="K29" s="5" t="s">
        <v>457</v>
      </c>
      <c r="L29" s="10">
        <v>46009.0</v>
      </c>
      <c r="M29" s="11" t="s">
        <v>38</v>
      </c>
      <c r="N29" s="5" t="s">
        <v>141</v>
      </c>
      <c r="O29" s="10">
        <v>45994.0</v>
      </c>
      <c r="P29" s="11" t="s">
        <v>33</v>
      </c>
      <c r="Q29" s="5" t="s">
        <v>36</v>
      </c>
      <c r="R29" s="23">
        <v>46013.0</v>
      </c>
      <c r="S29" s="12" t="s">
        <v>38</v>
      </c>
      <c r="T29" s="5" t="s">
        <v>143</v>
      </c>
      <c r="U29" s="10"/>
      <c r="V29" s="20"/>
      <c r="W29" s="5" t="s">
        <v>144</v>
      </c>
      <c r="X29" s="38">
        <v>46013.0</v>
      </c>
      <c r="Y29" s="11" t="s">
        <v>33</v>
      </c>
      <c r="Z29" s="39" t="s">
        <v>741</v>
      </c>
      <c r="AA29" s="26" t="s">
        <v>41</v>
      </c>
      <c r="AB29" s="23">
        <v>46013.0</v>
      </c>
      <c r="AC29" s="11" t="s">
        <v>33</v>
      </c>
    </row>
    <row r="30" ht="22.5" customHeight="1">
      <c r="A30" s="5">
        <v>7.0</v>
      </c>
      <c r="B30" s="21">
        <v>3.0</v>
      </c>
      <c r="C30" s="5" t="s">
        <v>742</v>
      </c>
      <c r="D30" s="16" t="s">
        <v>49</v>
      </c>
      <c r="E30" s="7" t="str">
        <f>IFERROR(__xludf.DUMMYFUNCTION("IF(AND(F30 &gt; 0.3, F30 &lt; 0.5), SPARKLINE(F30,{""charttype"",""bar"";""color1"",""Gold"";""max"",1}),
IF(F30 = 1, SPARKLINE(F30,{""charttype"",""bar"";""color1"",""Lime"";""max"",1}),
IF(F30 &gt;= 0.5, SPARKLINE(F30,{""charttype"",""bar"";""color1"",""GreenYel"&amp;"low"";""max"",1}),
SPARKLINE(F30,{""charttype"",""bar"";""color1"",""DarkOrange"";""max"",1}))))"),"")</f>
        <v/>
      </c>
      <c r="F30" s="8">
        <f t="shared" si="1"/>
        <v>1</v>
      </c>
      <c r="G30" s="14" t="s">
        <v>743</v>
      </c>
      <c r="H30" s="5" t="s">
        <v>141</v>
      </c>
      <c r="I30" s="10">
        <v>45912.0</v>
      </c>
      <c r="J30" s="11" t="s">
        <v>33</v>
      </c>
      <c r="K30" s="5" t="s">
        <v>457</v>
      </c>
      <c r="L30" s="10">
        <v>45965.0</v>
      </c>
      <c r="M30" s="11" t="s">
        <v>33</v>
      </c>
      <c r="N30" s="5" t="s">
        <v>141</v>
      </c>
      <c r="O30" s="10"/>
      <c r="P30" s="11" t="s">
        <v>38</v>
      </c>
      <c r="Q30" s="5" t="s">
        <v>36</v>
      </c>
      <c r="R30" s="23">
        <v>46024.0</v>
      </c>
      <c r="S30" s="12"/>
      <c r="T30" s="5" t="s">
        <v>143</v>
      </c>
      <c r="U30" s="10"/>
      <c r="V30" s="20"/>
      <c r="W30" s="5" t="s">
        <v>51</v>
      </c>
      <c r="X30" s="38">
        <v>46024.0</v>
      </c>
      <c r="Y30" s="11" t="s">
        <v>33</v>
      </c>
      <c r="Z30" s="14" t="s">
        <v>744</v>
      </c>
      <c r="AA30" s="26" t="s">
        <v>41</v>
      </c>
      <c r="AB30" s="23">
        <v>46024.0</v>
      </c>
      <c r="AC30" s="11" t="s">
        <v>33</v>
      </c>
    </row>
    <row r="31" ht="22.5" customHeight="1">
      <c r="A31" s="5">
        <v>7.0</v>
      </c>
      <c r="B31" s="21">
        <v>3.0</v>
      </c>
      <c r="C31" s="5" t="s">
        <v>745</v>
      </c>
      <c r="D31" s="16" t="s">
        <v>49</v>
      </c>
      <c r="E31" s="7" t="str">
        <f>IFERROR(__xludf.DUMMYFUNCTION("IF(AND(F31 &gt; 0.3, F31 &lt; 0.5), SPARKLINE(F31,{""charttype"",""bar"";""color1"",""Gold"";""max"",1}),
IF(F31 = 1, SPARKLINE(F31,{""charttype"",""bar"";""color1"",""Lime"";""max"",1}),
IF(F31 &gt;= 0.5, SPARKLINE(F31,{""charttype"",""bar"";""color1"",""GreenYel"&amp;"low"";""max"",1}),
SPARKLINE(F31,{""charttype"",""bar"";""color1"",""DarkOrange"";""max"",1}))))"),"")</f>
        <v/>
      </c>
      <c r="F31" s="8">
        <f t="shared" si="1"/>
        <v>1</v>
      </c>
      <c r="G31" s="14" t="s">
        <v>746</v>
      </c>
      <c r="H31" s="5" t="s">
        <v>141</v>
      </c>
      <c r="I31" s="10">
        <v>45912.0</v>
      </c>
      <c r="J31" s="11" t="s">
        <v>33</v>
      </c>
      <c r="K31" s="5" t="s">
        <v>457</v>
      </c>
      <c r="L31" s="10">
        <v>45965.0</v>
      </c>
      <c r="M31" s="11" t="s">
        <v>33</v>
      </c>
      <c r="N31" s="5" t="s">
        <v>141</v>
      </c>
      <c r="O31" s="10"/>
      <c r="P31" s="20"/>
      <c r="Q31" s="5" t="s">
        <v>36</v>
      </c>
      <c r="R31" s="23">
        <v>46024.0</v>
      </c>
      <c r="S31" s="37"/>
      <c r="T31" s="5" t="s">
        <v>143</v>
      </c>
      <c r="U31" s="10"/>
      <c r="V31" s="20"/>
      <c r="W31" s="5" t="s">
        <v>51</v>
      </c>
      <c r="X31" s="38">
        <v>46024.0</v>
      </c>
      <c r="Y31" s="11" t="s">
        <v>33</v>
      </c>
      <c r="Z31" s="14" t="s">
        <v>747</v>
      </c>
      <c r="AA31" s="26" t="s">
        <v>41</v>
      </c>
      <c r="AB31" s="23">
        <v>46024.0</v>
      </c>
      <c r="AC31" s="11" t="s">
        <v>33</v>
      </c>
    </row>
    <row r="32" ht="22.5" customHeight="1">
      <c r="A32" s="5">
        <v>7.0</v>
      </c>
      <c r="B32" s="21">
        <v>3.0</v>
      </c>
      <c r="C32" s="5" t="s">
        <v>748</v>
      </c>
      <c r="D32" s="16" t="s">
        <v>49</v>
      </c>
      <c r="E32" s="7" t="str">
        <f>IFERROR(__xludf.DUMMYFUNCTION("IF(AND(F32 &gt; 0.3, F32 &lt; 0.5), SPARKLINE(F32,{""charttype"",""bar"";""color1"",""Gold"";""max"",1}),
IF(F32 = 1, SPARKLINE(F32,{""charttype"",""bar"";""color1"",""Lime"";""max"",1}),
IF(F32 &gt;= 0.5, SPARKLINE(F32,{""charttype"",""bar"";""color1"",""GreenYel"&amp;"low"";""max"",1}),
SPARKLINE(F32,{""charttype"",""bar"";""color1"",""DarkOrange"";""max"",1}))))"),"")</f>
        <v/>
      </c>
      <c r="F32" s="8">
        <f t="shared" si="1"/>
        <v>1</v>
      </c>
      <c r="G32" s="14" t="s">
        <v>749</v>
      </c>
      <c r="H32" s="5" t="s">
        <v>141</v>
      </c>
      <c r="I32" s="10">
        <v>45912.0</v>
      </c>
      <c r="J32" s="11" t="s">
        <v>33</v>
      </c>
      <c r="K32" s="5" t="s">
        <v>457</v>
      </c>
      <c r="L32" s="10">
        <v>45965.0</v>
      </c>
      <c r="M32" s="11" t="s">
        <v>33</v>
      </c>
      <c r="N32" s="5" t="s">
        <v>141</v>
      </c>
      <c r="O32" s="10"/>
      <c r="P32" s="11"/>
      <c r="Q32" s="5" t="s">
        <v>36</v>
      </c>
      <c r="R32" s="23">
        <v>46024.0</v>
      </c>
      <c r="S32" s="12"/>
      <c r="T32" s="5" t="s">
        <v>143</v>
      </c>
      <c r="U32" s="10"/>
      <c r="V32" s="20"/>
      <c r="W32" s="5" t="s">
        <v>51</v>
      </c>
      <c r="X32" s="38">
        <v>46024.0</v>
      </c>
      <c r="Y32" s="11" t="s">
        <v>33</v>
      </c>
      <c r="Z32" s="14" t="s">
        <v>750</v>
      </c>
      <c r="AA32" s="26" t="s">
        <v>41</v>
      </c>
      <c r="AB32" s="23">
        <v>46024.0</v>
      </c>
      <c r="AC32" s="11" t="s">
        <v>33</v>
      </c>
    </row>
    <row r="33" ht="22.5" customHeight="1">
      <c r="A33" s="5">
        <v>7.0</v>
      </c>
      <c r="B33" s="21">
        <v>3.0</v>
      </c>
      <c r="C33" s="5" t="s">
        <v>751</v>
      </c>
      <c r="D33" s="16" t="s">
        <v>49</v>
      </c>
      <c r="E33" s="7" t="str">
        <f>IFERROR(__xludf.DUMMYFUNCTION("IF(AND(F33 &gt; 0.3, F33 &lt; 0.5), SPARKLINE(F33,{""charttype"",""bar"";""color1"",""Gold"";""max"",1}),
IF(F33 = 1, SPARKLINE(F33,{""charttype"",""bar"";""color1"",""Lime"";""max"",1}),
IF(F33 &gt;= 0.5, SPARKLINE(F33,{""charttype"",""bar"";""color1"",""GreenYel"&amp;"low"";""max"",1}),
SPARKLINE(F33,{""charttype"",""bar"";""color1"",""DarkOrange"";""max"",1}))))"),"")</f>
        <v/>
      </c>
      <c r="F33" s="8">
        <f t="shared" si="1"/>
        <v>1</v>
      </c>
      <c r="G33" s="14" t="s">
        <v>752</v>
      </c>
      <c r="H33" s="5" t="s">
        <v>141</v>
      </c>
      <c r="I33" s="10">
        <v>45912.0</v>
      </c>
      <c r="J33" s="11" t="s">
        <v>33</v>
      </c>
      <c r="K33" s="5" t="s">
        <v>457</v>
      </c>
      <c r="L33" s="10">
        <v>45965.0</v>
      </c>
      <c r="M33" s="11" t="s">
        <v>33</v>
      </c>
      <c r="N33" s="5" t="s">
        <v>141</v>
      </c>
      <c r="O33" s="10"/>
      <c r="P33" s="20"/>
      <c r="Q33" s="5" t="s">
        <v>36</v>
      </c>
      <c r="R33" s="23">
        <v>46024.0</v>
      </c>
      <c r="S33" s="37"/>
      <c r="T33" s="5" t="s">
        <v>143</v>
      </c>
      <c r="U33" s="10"/>
      <c r="V33" s="20"/>
      <c r="W33" s="5" t="s">
        <v>51</v>
      </c>
      <c r="X33" s="38">
        <v>46024.0</v>
      </c>
      <c r="Y33" s="11" t="s">
        <v>33</v>
      </c>
      <c r="Z33" s="14" t="s">
        <v>753</v>
      </c>
      <c r="AA33" s="26" t="s">
        <v>41</v>
      </c>
      <c r="AB33" s="23">
        <v>46024.0</v>
      </c>
      <c r="AC33" s="11" t="s">
        <v>33</v>
      </c>
    </row>
    <row r="34" ht="22.5" customHeight="1">
      <c r="A34" s="5">
        <v>7.0</v>
      </c>
      <c r="B34" s="21">
        <v>3.0</v>
      </c>
      <c r="C34" s="5" t="s">
        <v>754</v>
      </c>
      <c r="D34" s="16" t="s">
        <v>49</v>
      </c>
      <c r="E34" s="7" t="str">
        <f>IFERROR(__xludf.DUMMYFUNCTION("IF(AND(F34 &gt; 0.3, F34 &lt; 0.5), SPARKLINE(F34,{""charttype"",""bar"";""color1"",""Gold"";""max"",1}),
IF(F34 = 1, SPARKLINE(F34,{""charttype"",""bar"";""color1"",""Lime"";""max"",1}),
IF(F34 &gt;= 0.5, SPARKLINE(F34,{""charttype"",""bar"";""color1"",""GreenYel"&amp;"low"";""max"",1}),
SPARKLINE(F34,{""charttype"",""bar"";""color1"",""DarkOrange"";""max"",1}))))"),"")</f>
        <v/>
      </c>
      <c r="F34" s="8">
        <f t="shared" si="1"/>
        <v>1</v>
      </c>
      <c r="G34" s="14" t="s">
        <v>755</v>
      </c>
      <c r="H34" s="5" t="s">
        <v>141</v>
      </c>
      <c r="I34" s="10">
        <v>45912.0</v>
      </c>
      <c r="J34" s="11" t="s">
        <v>33</v>
      </c>
      <c r="K34" s="5" t="s">
        <v>457</v>
      </c>
      <c r="L34" s="10">
        <v>45965.0</v>
      </c>
      <c r="M34" s="11" t="s">
        <v>33</v>
      </c>
      <c r="N34" s="5" t="s">
        <v>141</v>
      </c>
      <c r="O34" s="10"/>
      <c r="P34" s="20"/>
      <c r="Q34" s="5" t="s">
        <v>36</v>
      </c>
      <c r="R34" s="23">
        <v>46024.0</v>
      </c>
      <c r="S34" s="37"/>
      <c r="T34" s="5" t="s">
        <v>143</v>
      </c>
      <c r="U34" s="10"/>
      <c r="V34" s="20"/>
      <c r="W34" s="5" t="s">
        <v>51</v>
      </c>
      <c r="X34" s="38">
        <v>46024.0</v>
      </c>
      <c r="Y34" s="11" t="s">
        <v>33</v>
      </c>
      <c r="Z34" s="14" t="s">
        <v>756</v>
      </c>
      <c r="AA34" s="26" t="s">
        <v>41</v>
      </c>
      <c r="AB34" s="23">
        <v>46024.0</v>
      </c>
      <c r="AC34" s="11" t="s">
        <v>33</v>
      </c>
    </row>
    <row r="35" ht="22.5" customHeight="1">
      <c r="A35" s="5">
        <v>7.0</v>
      </c>
      <c r="B35" s="21">
        <v>3.0</v>
      </c>
      <c r="C35" s="5" t="s">
        <v>757</v>
      </c>
      <c r="D35" s="16" t="s">
        <v>60</v>
      </c>
      <c r="E35" s="7" t="str">
        <f>IFERROR(__xludf.DUMMYFUNCTION("IF(AND(F35 &gt; 0.3, F35 &lt; 0.5), SPARKLINE(F35,{""charttype"",""bar"";""color1"",""Gold"";""max"",1}),
IF(F35 = 1, SPARKLINE(F35,{""charttype"",""bar"";""color1"",""Lime"";""max"",1}),
IF(F35 &gt;= 0.5, SPARKLINE(F35,{""charttype"",""bar"";""color1"",""GreenYel"&amp;"low"";""max"",1}),
SPARKLINE(F35,{""charttype"",""bar"";""color1"",""DarkOrange"";""max"",1}))))"),"")</f>
        <v/>
      </c>
      <c r="F35" s="8">
        <f t="shared" si="1"/>
        <v>0.25</v>
      </c>
      <c r="G35" s="14" t="s">
        <v>758</v>
      </c>
      <c r="H35" s="5" t="s">
        <v>141</v>
      </c>
      <c r="I35" s="10">
        <v>45912.0</v>
      </c>
      <c r="J35" s="11" t="s">
        <v>33</v>
      </c>
      <c r="K35" s="5" t="s">
        <v>457</v>
      </c>
      <c r="L35" s="10">
        <v>46013.0</v>
      </c>
      <c r="M35" s="11" t="s">
        <v>38</v>
      </c>
      <c r="N35" s="5" t="s">
        <v>141</v>
      </c>
      <c r="O35" s="10"/>
      <c r="P35" s="20"/>
      <c r="Q35" s="5" t="s">
        <v>36</v>
      </c>
      <c r="R35" s="23">
        <v>46035.0</v>
      </c>
      <c r="S35" s="37"/>
      <c r="T35" s="5" t="s">
        <v>143</v>
      </c>
      <c r="U35" s="10"/>
      <c r="V35" s="20"/>
      <c r="W35" s="5" t="s">
        <v>51</v>
      </c>
      <c r="X35" s="38">
        <v>46035.0</v>
      </c>
      <c r="Y35" s="20"/>
      <c r="Z35" s="19"/>
      <c r="AA35" s="26" t="s">
        <v>41</v>
      </c>
      <c r="AB35" s="23">
        <v>46035.0</v>
      </c>
      <c r="AC35" s="20"/>
    </row>
    <row r="36" ht="22.5" customHeight="1">
      <c r="A36" s="5">
        <v>7.0</v>
      </c>
      <c r="B36" s="21">
        <v>3.0</v>
      </c>
      <c r="C36" s="5" t="s">
        <v>759</v>
      </c>
      <c r="D36" s="16" t="s">
        <v>64</v>
      </c>
      <c r="E36" s="7" t="str">
        <f>IFERROR(__xludf.DUMMYFUNCTION("IF(AND(F36 &gt; 0.3, F36 &lt; 0.5), SPARKLINE(F36,{""charttype"",""bar"";""color1"",""Gold"";""max"",1}),
IF(F36 = 1, SPARKLINE(F36,{""charttype"",""bar"";""color1"",""Lime"";""max"",1}),
IF(F36 &gt;= 0.5, SPARKLINE(F36,{""charttype"",""bar"";""color1"",""GreenYel"&amp;"low"";""max"",1}),
SPARKLINE(F36,{""charttype"",""bar"";""color1"",""DarkOrange"";""max"",1}))))"),"")</f>
        <v/>
      </c>
      <c r="F36" s="8">
        <f t="shared" si="1"/>
        <v>0.25</v>
      </c>
      <c r="G36" s="14" t="s">
        <v>760</v>
      </c>
      <c r="H36" s="5" t="s">
        <v>141</v>
      </c>
      <c r="I36" s="10">
        <v>45912.0</v>
      </c>
      <c r="J36" s="11" t="s">
        <v>33</v>
      </c>
      <c r="K36" s="5" t="s">
        <v>457</v>
      </c>
      <c r="L36" s="10">
        <v>46013.0</v>
      </c>
      <c r="M36" s="11" t="s">
        <v>38</v>
      </c>
      <c r="N36" s="5" t="s">
        <v>141</v>
      </c>
      <c r="O36" s="10"/>
      <c r="P36" s="20"/>
      <c r="Q36" s="5" t="s">
        <v>36</v>
      </c>
      <c r="R36" s="23">
        <v>46038.0</v>
      </c>
      <c r="S36" s="37"/>
      <c r="T36" s="5" t="s">
        <v>143</v>
      </c>
      <c r="U36" s="10"/>
      <c r="V36" s="20"/>
      <c r="W36" s="5" t="s">
        <v>51</v>
      </c>
      <c r="X36" s="38">
        <v>46038.0</v>
      </c>
      <c r="Y36" s="20"/>
      <c r="Z36" s="19"/>
      <c r="AA36" s="26" t="s">
        <v>41</v>
      </c>
      <c r="AB36" s="23">
        <v>46038.0</v>
      </c>
      <c r="AC36" s="20"/>
    </row>
    <row r="37" ht="22.5" customHeight="1">
      <c r="A37" s="5">
        <v>7.0</v>
      </c>
      <c r="B37" s="21">
        <v>4.0</v>
      </c>
      <c r="C37" s="5" t="s">
        <v>761</v>
      </c>
      <c r="D37" s="16" t="s">
        <v>30</v>
      </c>
      <c r="E37" s="7" t="str">
        <f>IFERROR(__xludf.DUMMYFUNCTION("IF(AND(F37 &gt; 0.3, F37 &lt; 0.5), SPARKLINE(F37,{""charttype"",""bar"";""color1"",""Gold"";""max"",1}),
IF(F37 = 1, SPARKLINE(F37,{""charttype"",""bar"";""color1"",""Lime"";""max"",1}),
IF(F37 &gt;= 0.5, SPARKLINE(F37,{""charttype"",""bar"";""color1"",""GreenYel"&amp;"low"";""max"",1}),
SPARKLINE(F37,{""charttype"",""bar"";""color1"",""DarkOrange"";""max"",1}))))"),"")</f>
        <v/>
      </c>
      <c r="F37" s="8">
        <f t="shared" si="1"/>
        <v>0.8</v>
      </c>
      <c r="G37" s="14" t="s">
        <v>762</v>
      </c>
      <c r="H37" s="5" t="s">
        <v>141</v>
      </c>
      <c r="I37" s="10">
        <v>45912.0</v>
      </c>
      <c r="J37" s="11" t="s">
        <v>33</v>
      </c>
      <c r="K37" s="5" t="s">
        <v>457</v>
      </c>
      <c r="L37" s="10">
        <v>46013.0</v>
      </c>
      <c r="M37" s="11" t="s">
        <v>38</v>
      </c>
      <c r="N37" s="5" t="s">
        <v>141</v>
      </c>
      <c r="O37" s="10">
        <v>45999.0</v>
      </c>
      <c r="P37" s="11" t="s">
        <v>33</v>
      </c>
      <c r="Q37" s="5" t="s">
        <v>36</v>
      </c>
      <c r="R37" s="23">
        <v>46013.0</v>
      </c>
      <c r="S37" s="12" t="s">
        <v>38</v>
      </c>
      <c r="T37" s="5" t="s">
        <v>143</v>
      </c>
      <c r="U37" s="10"/>
      <c r="V37" s="20"/>
      <c r="W37" s="5" t="s">
        <v>144</v>
      </c>
      <c r="X37" s="38">
        <v>46013.0</v>
      </c>
      <c r="Y37" s="11" t="s">
        <v>33</v>
      </c>
      <c r="Z37" s="39" t="s">
        <v>763</v>
      </c>
      <c r="AA37" s="26" t="s">
        <v>41</v>
      </c>
      <c r="AB37" s="23">
        <v>46013.0</v>
      </c>
      <c r="AC37" s="11" t="s">
        <v>33</v>
      </c>
    </row>
    <row r="38" ht="22.5" customHeight="1">
      <c r="A38" s="5">
        <v>7.0</v>
      </c>
      <c r="B38" s="21">
        <v>4.0</v>
      </c>
      <c r="C38" s="5" t="s">
        <v>764</v>
      </c>
      <c r="D38" s="16" t="s">
        <v>30</v>
      </c>
      <c r="E38" s="7" t="str">
        <f>IFERROR(__xludf.DUMMYFUNCTION("IF(AND(F38 &gt; 0.3, F38 &lt; 0.5), SPARKLINE(F38,{""charttype"",""bar"";""color1"",""Gold"";""max"",1}),
IF(F38 = 1, SPARKLINE(F38,{""charttype"",""bar"";""color1"",""Lime"";""max"",1}),
IF(F38 &gt;= 0.5, SPARKLINE(F38,{""charttype"",""bar"";""color1"",""GreenYel"&amp;"low"";""max"",1}),
SPARKLINE(F38,{""charttype"",""bar"";""color1"",""DarkOrange"";""max"",1}))))"),"")</f>
        <v/>
      </c>
      <c r="F38" s="8">
        <f t="shared" si="1"/>
        <v>0.6</v>
      </c>
      <c r="G38" s="14" t="s">
        <v>765</v>
      </c>
      <c r="H38" s="5" t="s">
        <v>141</v>
      </c>
      <c r="I38" s="10">
        <v>45912.0</v>
      </c>
      <c r="J38" s="11" t="s">
        <v>33</v>
      </c>
      <c r="K38" s="5" t="s">
        <v>457</v>
      </c>
      <c r="L38" s="10">
        <v>46013.0</v>
      </c>
      <c r="M38" s="11" t="s">
        <v>38</v>
      </c>
      <c r="N38" s="5" t="s">
        <v>141</v>
      </c>
      <c r="O38" s="10">
        <v>45999.0</v>
      </c>
      <c r="P38" s="11" t="s">
        <v>33</v>
      </c>
      <c r="Q38" s="5" t="s">
        <v>36</v>
      </c>
      <c r="R38" s="23">
        <v>46013.0</v>
      </c>
      <c r="S38" s="12" t="s">
        <v>38</v>
      </c>
      <c r="T38" s="5" t="s">
        <v>143</v>
      </c>
      <c r="U38" s="10"/>
      <c r="V38" s="20"/>
      <c r="W38" s="5" t="s">
        <v>144</v>
      </c>
      <c r="X38" s="38">
        <v>46013.0</v>
      </c>
      <c r="Y38" s="11" t="s">
        <v>33</v>
      </c>
      <c r="Z38" s="39" t="s">
        <v>766</v>
      </c>
      <c r="AA38" s="26" t="s">
        <v>41</v>
      </c>
      <c r="AB38" s="23">
        <v>46013.0</v>
      </c>
      <c r="AC38" s="11" t="s">
        <v>38</v>
      </c>
    </row>
    <row r="39" ht="22.5" customHeight="1">
      <c r="A39" s="5">
        <v>7.0</v>
      </c>
      <c r="B39" s="21">
        <v>4.0</v>
      </c>
      <c r="C39" s="5" t="s">
        <v>767</v>
      </c>
      <c r="D39" s="16" t="s">
        <v>30</v>
      </c>
      <c r="E39" s="7" t="str">
        <f>IFERROR(__xludf.DUMMYFUNCTION("IF(AND(F39 &gt; 0.3, F39 &lt; 0.5), SPARKLINE(F39,{""charttype"",""bar"";""color1"",""Gold"";""max"",1}),
IF(F39 = 1, SPARKLINE(F39,{""charttype"",""bar"";""color1"",""Lime"";""max"",1}),
IF(F39 &gt;= 0.5, SPARKLINE(F39,{""charttype"",""bar"";""color1"",""GreenYel"&amp;"low"";""max"",1}),
SPARKLINE(F39,{""charttype"",""bar"";""color1"",""DarkOrange"";""max"",1}))))"),"")</f>
        <v/>
      </c>
      <c r="F39" s="8">
        <f t="shared" si="1"/>
        <v>0.8</v>
      </c>
      <c r="G39" s="14" t="s">
        <v>768</v>
      </c>
      <c r="H39" s="5" t="s">
        <v>141</v>
      </c>
      <c r="I39" s="10">
        <v>45912.0</v>
      </c>
      <c r="J39" s="11" t="s">
        <v>33</v>
      </c>
      <c r="K39" s="5" t="s">
        <v>457</v>
      </c>
      <c r="L39" s="10">
        <v>46013.0</v>
      </c>
      <c r="M39" s="11" t="s">
        <v>38</v>
      </c>
      <c r="N39" s="5" t="s">
        <v>141</v>
      </c>
      <c r="O39" s="10">
        <v>45999.0</v>
      </c>
      <c r="P39" s="11" t="s">
        <v>33</v>
      </c>
      <c r="Q39" s="5" t="s">
        <v>36</v>
      </c>
      <c r="R39" s="23">
        <v>46013.0</v>
      </c>
      <c r="S39" s="12" t="s">
        <v>38</v>
      </c>
      <c r="T39" s="5" t="s">
        <v>143</v>
      </c>
      <c r="U39" s="10"/>
      <c r="V39" s="20"/>
      <c r="W39" s="5" t="s">
        <v>144</v>
      </c>
      <c r="X39" s="38">
        <v>46013.0</v>
      </c>
      <c r="Y39" s="11" t="s">
        <v>33</v>
      </c>
      <c r="Z39" s="39" t="s">
        <v>769</v>
      </c>
      <c r="AA39" s="26" t="s">
        <v>41</v>
      </c>
      <c r="AB39" s="23">
        <v>46013.0</v>
      </c>
      <c r="AC39" s="11" t="s">
        <v>33</v>
      </c>
    </row>
    <row r="40" ht="22.5" customHeight="1">
      <c r="A40" s="5">
        <v>7.0</v>
      </c>
      <c r="B40" s="21">
        <v>4.0</v>
      </c>
      <c r="C40" s="5" t="s">
        <v>770</v>
      </c>
      <c r="D40" s="16" t="s">
        <v>30</v>
      </c>
      <c r="E40" s="7" t="str">
        <f>IFERROR(__xludf.DUMMYFUNCTION("IF(AND(F40 &gt; 0.3, F40 &lt; 0.5), SPARKLINE(F40,{""charttype"",""bar"";""color1"",""Gold"";""max"",1}),
IF(F40 = 1, SPARKLINE(F40,{""charttype"",""bar"";""color1"",""Lime"";""max"",1}),
IF(F40 &gt;= 0.5, SPARKLINE(F40,{""charttype"",""bar"";""color1"",""GreenYel"&amp;"low"";""max"",1}),
SPARKLINE(F40,{""charttype"",""bar"";""color1"",""DarkOrange"";""max"",1}))))"),"")</f>
        <v/>
      </c>
      <c r="F40" s="8">
        <f t="shared" si="1"/>
        <v>0.8</v>
      </c>
      <c r="G40" s="14" t="s">
        <v>771</v>
      </c>
      <c r="H40" s="5" t="s">
        <v>141</v>
      </c>
      <c r="I40" s="10">
        <v>45912.0</v>
      </c>
      <c r="J40" s="11" t="s">
        <v>33</v>
      </c>
      <c r="K40" s="5" t="s">
        <v>457</v>
      </c>
      <c r="L40" s="10">
        <v>46013.0</v>
      </c>
      <c r="M40" s="11" t="s">
        <v>38</v>
      </c>
      <c r="N40" s="5" t="s">
        <v>141</v>
      </c>
      <c r="O40" s="10">
        <v>45999.0</v>
      </c>
      <c r="P40" s="11" t="s">
        <v>33</v>
      </c>
      <c r="Q40" s="5" t="s">
        <v>36</v>
      </c>
      <c r="R40" s="23">
        <v>46013.0</v>
      </c>
      <c r="S40" s="12" t="s">
        <v>38</v>
      </c>
      <c r="T40" s="5" t="s">
        <v>143</v>
      </c>
      <c r="U40" s="10"/>
      <c r="V40" s="20"/>
      <c r="W40" s="5" t="s">
        <v>144</v>
      </c>
      <c r="X40" s="38">
        <v>46013.0</v>
      </c>
      <c r="Y40" s="11" t="s">
        <v>33</v>
      </c>
      <c r="Z40" s="39" t="s">
        <v>772</v>
      </c>
      <c r="AA40" s="26" t="s">
        <v>41</v>
      </c>
      <c r="AB40" s="23">
        <v>46013.0</v>
      </c>
      <c r="AC40" s="11" t="s">
        <v>33</v>
      </c>
    </row>
    <row r="41" ht="22.5" customHeight="1">
      <c r="A41" s="5">
        <v>7.0</v>
      </c>
      <c r="B41" s="21">
        <v>4.0</v>
      </c>
      <c r="C41" s="5" t="s">
        <v>773</v>
      </c>
      <c r="D41" s="16" t="s">
        <v>30</v>
      </c>
      <c r="E41" s="7" t="str">
        <f>IFERROR(__xludf.DUMMYFUNCTION("IF(AND(F41 &gt; 0.3, F41 &lt; 0.5), SPARKLINE(F41,{""charttype"",""bar"";""color1"",""Gold"";""max"",1}),
IF(F41 = 1, SPARKLINE(F41,{""charttype"",""bar"";""color1"",""Lime"";""max"",1}),
IF(F41 &gt;= 0.5, SPARKLINE(F41,{""charttype"",""bar"";""color1"",""GreenYel"&amp;"low"";""max"",1}),
SPARKLINE(F41,{""charttype"",""bar"";""color1"",""DarkOrange"";""max"",1}))))"),"")</f>
        <v/>
      </c>
      <c r="F41" s="8">
        <f t="shared" si="1"/>
        <v>0.8</v>
      </c>
      <c r="G41" s="14" t="s">
        <v>774</v>
      </c>
      <c r="H41" s="5" t="s">
        <v>141</v>
      </c>
      <c r="I41" s="10">
        <v>45912.0</v>
      </c>
      <c r="J41" s="11" t="s">
        <v>33</v>
      </c>
      <c r="K41" s="5" t="s">
        <v>457</v>
      </c>
      <c r="L41" s="10">
        <v>46013.0</v>
      </c>
      <c r="M41" s="11" t="s">
        <v>38</v>
      </c>
      <c r="N41" s="5" t="s">
        <v>141</v>
      </c>
      <c r="O41" s="10">
        <v>45999.0</v>
      </c>
      <c r="P41" s="11" t="s">
        <v>33</v>
      </c>
      <c r="Q41" s="5" t="s">
        <v>36</v>
      </c>
      <c r="R41" s="23">
        <v>46013.0</v>
      </c>
      <c r="S41" s="12" t="s">
        <v>38</v>
      </c>
      <c r="T41" s="5" t="s">
        <v>143</v>
      </c>
      <c r="U41" s="10"/>
      <c r="V41" s="20"/>
      <c r="W41" s="5" t="s">
        <v>144</v>
      </c>
      <c r="X41" s="38">
        <v>46013.0</v>
      </c>
      <c r="Y41" s="11" t="s">
        <v>33</v>
      </c>
      <c r="Z41" s="39" t="s">
        <v>775</v>
      </c>
      <c r="AA41" s="26" t="s">
        <v>41</v>
      </c>
      <c r="AB41" s="23">
        <v>46013.0</v>
      </c>
      <c r="AC41" s="11" t="s">
        <v>33</v>
      </c>
    </row>
    <row r="42" ht="22.5" customHeight="1">
      <c r="A42" s="5">
        <v>7.0</v>
      </c>
      <c r="B42" s="21">
        <v>4.0</v>
      </c>
      <c r="C42" s="5" t="s">
        <v>776</v>
      </c>
      <c r="D42" s="16" t="s">
        <v>49</v>
      </c>
      <c r="E42" s="7" t="str">
        <f>IFERROR(__xludf.DUMMYFUNCTION("IF(AND(F42 &gt; 0.3, F42 &lt; 0.5), SPARKLINE(F42,{""charttype"",""bar"";""color1"",""Gold"";""max"",1}),
IF(F42 = 1, SPARKLINE(F42,{""charttype"",""bar"";""color1"",""Lime"";""max"",1}),
IF(F42 &gt;= 0.5, SPARKLINE(F42,{""charttype"",""bar"";""color1"",""GreenYel"&amp;"low"";""max"",1}),
SPARKLINE(F42,{""charttype"",""bar"";""color1"",""DarkOrange"";""max"",1}))))"),"")</f>
        <v/>
      </c>
      <c r="F42" s="8">
        <f t="shared" si="1"/>
        <v>1</v>
      </c>
      <c r="G42" s="14" t="s">
        <v>777</v>
      </c>
      <c r="H42" s="5" t="s">
        <v>141</v>
      </c>
      <c r="I42" s="10">
        <v>45912.0</v>
      </c>
      <c r="J42" s="11" t="s">
        <v>33</v>
      </c>
      <c r="K42" s="5" t="s">
        <v>457</v>
      </c>
      <c r="L42" s="10">
        <v>45965.0</v>
      </c>
      <c r="M42" s="11" t="s">
        <v>33</v>
      </c>
      <c r="N42" s="5" t="s">
        <v>141</v>
      </c>
      <c r="O42" s="10"/>
      <c r="P42" s="11" t="s">
        <v>38</v>
      </c>
      <c r="Q42" s="5" t="s">
        <v>36</v>
      </c>
      <c r="R42" s="23">
        <v>46030.0</v>
      </c>
      <c r="S42" s="12"/>
      <c r="T42" s="5" t="s">
        <v>143</v>
      </c>
      <c r="U42" s="10"/>
      <c r="V42" s="20"/>
      <c r="W42" s="5" t="s">
        <v>51</v>
      </c>
      <c r="X42" s="38">
        <v>46030.0</v>
      </c>
      <c r="Y42" s="11" t="s">
        <v>33</v>
      </c>
      <c r="Z42" s="40" t="s">
        <v>778</v>
      </c>
      <c r="AA42" s="26" t="s">
        <v>41</v>
      </c>
      <c r="AB42" s="23">
        <v>46030.0</v>
      </c>
      <c r="AC42" s="11" t="s">
        <v>33</v>
      </c>
    </row>
    <row r="43" ht="22.5" customHeight="1">
      <c r="A43" s="5">
        <v>7.0</v>
      </c>
      <c r="B43" s="21">
        <v>4.0</v>
      </c>
      <c r="C43" s="5" t="s">
        <v>779</v>
      </c>
      <c r="D43" s="16" t="s">
        <v>49</v>
      </c>
      <c r="E43" s="7" t="str">
        <f>IFERROR(__xludf.DUMMYFUNCTION("IF(AND(F43 &gt; 0.3, F43 &lt; 0.5), SPARKLINE(F43,{""charttype"",""bar"";""color1"",""Gold"";""max"",1}),
IF(F43 = 1, SPARKLINE(F43,{""charttype"",""bar"";""color1"",""Lime"";""max"",1}),
IF(F43 &gt;= 0.5, SPARKLINE(F43,{""charttype"",""bar"";""color1"",""GreenYel"&amp;"low"";""max"",1}),
SPARKLINE(F43,{""charttype"",""bar"";""color1"",""DarkOrange"";""max"",1}))))"),"")</f>
        <v/>
      </c>
      <c r="F43" s="8">
        <f t="shared" si="1"/>
        <v>1</v>
      </c>
      <c r="G43" s="14" t="s">
        <v>780</v>
      </c>
      <c r="H43" s="5" t="s">
        <v>141</v>
      </c>
      <c r="I43" s="10">
        <v>45912.0</v>
      </c>
      <c r="J43" s="11" t="s">
        <v>33</v>
      </c>
      <c r="K43" s="5" t="s">
        <v>457</v>
      </c>
      <c r="L43" s="10">
        <v>45965.0</v>
      </c>
      <c r="M43" s="11" t="s">
        <v>33</v>
      </c>
      <c r="N43" s="5" t="s">
        <v>141</v>
      </c>
      <c r="O43" s="10"/>
      <c r="P43" s="20"/>
      <c r="Q43" s="5" t="s">
        <v>36</v>
      </c>
      <c r="R43" s="23">
        <v>46030.0</v>
      </c>
      <c r="S43" s="37"/>
      <c r="T43" s="5" t="s">
        <v>143</v>
      </c>
      <c r="U43" s="10"/>
      <c r="V43" s="20"/>
      <c r="W43" s="5" t="s">
        <v>51</v>
      </c>
      <c r="X43" s="38">
        <v>46030.0</v>
      </c>
      <c r="Y43" s="11" t="s">
        <v>33</v>
      </c>
      <c r="Z43" s="14" t="s">
        <v>781</v>
      </c>
      <c r="AA43" s="26" t="s">
        <v>41</v>
      </c>
      <c r="AB43" s="23">
        <v>46030.0</v>
      </c>
      <c r="AC43" s="11" t="s">
        <v>33</v>
      </c>
    </row>
    <row r="44" ht="22.5" customHeight="1">
      <c r="A44" s="5">
        <v>7.0</v>
      </c>
      <c r="B44" s="21">
        <v>4.0</v>
      </c>
      <c r="C44" s="5" t="s">
        <v>782</v>
      </c>
      <c r="D44" s="16" t="s">
        <v>49</v>
      </c>
      <c r="E44" s="7" t="str">
        <f>IFERROR(__xludf.DUMMYFUNCTION("IF(AND(F44 &gt; 0.3, F44 &lt; 0.5), SPARKLINE(F44,{""charttype"",""bar"";""color1"",""Gold"";""max"",1}),
IF(F44 = 1, SPARKLINE(F44,{""charttype"",""bar"";""color1"",""Lime"";""max"",1}),
IF(F44 &gt;= 0.5, SPARKLINE(F44,{""charttype"",""bar"";""color1"",""GreenYel"&amp;"low"";""max"",1}),
SPARKLINE(F44,{""charttype"",""bar"";""color1"",""DarkOrange"";""max"",1}))))"),"")</f>
        <v/>
      </c>
      <c r="F44" s="8">
        <f t="shared" si="1"/>
        <v>1</v>
      </c>
      <c r="G44" s="14" t="s">
        <v>783</v>
      </c>
      <c r="H44" s="5" t="s">
        <v>141</v>
      </c>
      <c r="I44" s="10">
        <v>45912.0</v>
      </c>
      <c r="J44" s="11" t="s">
        <v>33</v>
      </c>
      <c r="K44" s="5" t="s">
        <v>457</v>
      </c>
      <c r="L44" s="10">
        <v>45965.0</v>
      </c>
      <c r="M44" s="11" t="s">
        <v>33</v>
      </c>
      <c r="N44" s="5" t="s">
        <v>141</v>
      </c>
      <c r="O44" s="10"/>
      <c r="P44" s="20"/>
      <c r="Q44" s="5" t="s">
        <v>36</v>
      </c>
      <c r="R44" s="23">
        <v>46030.0</v>
      </c>
      <c r="S44" s="37"/>
      <c r="T44" s="5" t="s">
        <v>143</v>
      </c>
      <c r="U44" s="10"/>
      <c r="V44" s="20"/>
      <c r="W44" s="5" t="s">
        <v>51</v>
      </c>
      <c r="X44" s="38">
        <v>46030.0</v>
      </c>
      <c r="Y44" s="11" t="s">
        <v>33</v>
      </c>
      <c r="Z44" s="14" t="s">
        <v>784</v>
      </c>
      <c r="AA44" s="26" t="s">
        <v>41</v>
      </c>
      <c r="AB44" s="23">
        <v>46030.0</v>
      </c>
      <c r="AC44" s="11" t="s">
        <v>33</v>
      </c>
    </row>
    <row r="45" ht="22.5" customHeight="1">
      <c r="A45" s="5">
        <v>7.0</v>
      </c>
      <c r="B45" s="21">
        <v>4.0</v>
      </c>
      <c r="C45" s="5" t="s">
        <v>785</v>
      </c>
      <c r="D45" s="16" t="s">
        <v>49</v>
      </c>
      <c r="E45" s="7" t="str">
        <f>IFERROR(__xludf.DUMMYFUNCTION("IF(AND(F45 &gt; 0.3, F45 &lt; 0.5), SPARKLINE(F45,{""charttype"",""bar"";""color1"",""Gold"";""max"",1}),
IF(F45 = 1, SPARKLINE(F45,{""charttype"",""bar"";""color1"",""Lime"";""max"",1}),
IF(F45 &gt;= 0.5, SPARKLINE(F45,{""charttype"",""bar"";""color1"",""GreenYel"&amp;"low"";""max"",1}),
SPARKLINE(F45,{""charttype"",""bar"";""color1"",""DarkOrange"";""max"",1}))))"),"")</f>
        <v/>
      </c>
      <c r="F45" s="8">
        <f t="shared" si="1"/>
        <v>1</v>
      </c>
      <c r="G45" s="14" t="s">
        <v>786</v>
      </c>
      <c r="H45" s="5" t="s">
        <v>141</v>
      </c>
      <c r="I45" s="10">
        <v>45912.0</v>
      </c>
      <c r="J45" s="11" t="s">
        <v>33</v>
      </c>
      <c r="K45" s="5" t="s">
        <v>457</v>
      </c>
      <c r="L45" s="10">
        <v>45965.0</v>
      </c>
      <c r="M45" s="11" t="s">
        <v>33</v>
      </c>
      <c r="N45" s="5" t="s">
        <v>141</v>
      </c>
      <c r="O45" s="10"/>
      <c r="P45" s="20"/>
      <c r="Q45" s="5" t="s">
        <v>36</v>
      </c>
      <c r="R45" s="23">
        <v>46030.0</v>
      </c>
      <c r="S45" s="37"/>
      <c r="T45" s="5" t="s">
        <v>143</v>
      </c>
      <c r="U45" s="10"/>
      <c r="V45" s="20"/>
      <c r="W45" s="5" t="s">
        <v>51</v>
      </c>
      <c r="X45" s="38">
        <v>46030.0</v>
      </c>
      <c r="Y45" s="11" t="s">
        <v>33</v>
      </c>
      <c r="Z45" s="14" t="s">
        <v>787</v>
      </c>
      <c r="AA45" s="26" t="s">
        <v>41</v>
      </c>
      <c r="AB45" s="23">
        <v>46030.0</v>
      </c>
      <c r="AC45" s="11" t="s">
        <v>33</v>
      </c>
    </row>
    <row r="46" ht="22.5" customHeight="1">
      <c r="A46" s="5">
        <v>7.0</v>
      </c>
      <c r="B46" s="21">
        <v>4.0</v>
      </c>
      <c r="C46" s="5" t="s">
        <v>788</v>
      </c>
      <c r="D46" s="16" t="s">
        <v>49</v>
      </c>
      <c r="E46" s="7" t="str">
        <f>IFERROR(__xludf.DUMMYFUNCTION("IF(AND(F46 &gt; 0.3, F46 &lt; 0.5), SPARKLINE(F46,{""charttype"",""bar"";""color1"",""Gold"";""max"",1}),
IF(F46 = 1, SPARKLINE(F46,{""charttype"",""bar"";""color1"",""Lime"";""max"",1}),
IF(F46 &gt;= 0.5, SPARKLINE(F46,{""charttype"",""bar"";""color1"",""GreenYel"&amp;"low"";""max"",1}),
SPARKLINE(F46,{""charttype"",""bar"";""color1"",""DarkOrange"";""max"",1}))))"),"")</f>
        <v/>
      </c>
      <c r="F46" s="8">
        <f t="shared" si="1"/>
        <v>1</v>
      </c>
      <c r="G46" s="14" t="s">
        <v>789</v>
      </c>
      <c r="H46" s="5" t="s">
        <v>141</v>
      </c>
      <c r="I46" s="10">
        <v>45912.0</v>
      </c>
      <c r="J46" s="11" t="s">
        <v>33</v>
      </c>
      <c r="K46" s="5" t="s">
        <v>457</v>
      </c>
      <c r="L46" s="10">
        <v>45965.0</v>
      </c>
      <c r="M46" s="11" t="s">
        <v>33</v>
      </c>
      <c r="N46" s="5" t="s">
        <v>141</v>
      </c>
      <c r="O46" s="10"/>
      <c r="P46" s="20"/>
      <c r="Q46" s="5" t="s">
        <v>36</v>
      </c>
      <c r="R46" s="23">
        <v>46030.0</v>
      </c>
      <c r="S46" s="37"/>
      <c r="T46" s="5" t="s">
        <v>143</v>
      </c>
      <c r="U46" s="10"/>
      <c r="V46" s="20"/>
      <c r="W46" s="5" t="s">
        <v>51</v>
      </c>
      <c r="X46" s="38">
        <v>46030.0</v>
      </c>
      <c r="Y46" s="11" t="s">
        <v>33</v>
      </c>
      <c r="Z46" s="14" t="s">
        <v>790</v>
      </c>
      <c r="AA46" s="26" t="s">
        <v>41</v>
      </c>
      <c r="AB46" s="23">
        <v>46030.0</v>
      </c>
      <c r="AC46" s="11" t="s">
        <v>33</v>
      </c>
    </row>
    <row r="47" ht="22.5" customHeight="1">
      <c r="A47" s="5">
        <v>7.0</v>
      </c>
      <c r="B47" s="21">
        <v>4.0</v>
      </c>
      <c r="C47" s="5" t="s">
        <v>791</v>
      </c>
      <c r="D47" s="16" t="s">
        <v>60</v>
      </c>
      <c r="E47" s="7" t="str">
        <f>IFERROR(__xludf.DUMMYFUNCTION("IF(AND(F47 &gt; 0.3, F47 &lt; 0.5), SPARKLINE(F47,{""charttype"",""bar"";""color1"",""Gold"";""max"",1}),
IF(F47 = 1, SPARKLINE(F47,{""charttype"",""bar"";""color1"",""Lime"";""max"",1}),
IF(F47 &gt;= 0.5, SPARKLINE(F47,{""charttype"",""bar"";""color1"",""GreenYel"&amp;"low"";""max"",1}),
SPARKLINE(F47,{""charttype"",""bar"";""color1"",""DarkOrange"";""max"",1}))))"),"")</f>
        <v/>
      </c>
      <c r="F47" s="8">
        <f t="shared" si="1"/>
        <v>0.5</v>
      </c>
      <c r="G47" s="17" t="s">
        <v>792</v>
      </c>
      <c r="H47" s="5" t="s">
        <v>141</v>
      </c>
      <c r="I47" s="10">
        <v>45912.0</v>
      </c>
      <c r="J47" s="11" t="s">
        <v>33</v>
      </c>
      <c r="K47" s="5" t="s">
        <v>457</v>
      </c>
      <c r="L47" s="10">
        <v>46013.0</v>
      </c>
      <c r="M47" s="11" t="s">
        <v>33</v>
      </c>
      <c r="N47" s="5" t="s">
        <v>141</v>
      </c>
      <c r="O47" s="10"/>
      <c r="P47" s="11" t="s">
        <v>38</v>
      </c>
      <c r="Q47" s="5" t="s">
        <v>36</v>
      </c>
      <c r="R47" s="23">
        <v>46036.0</v>
      </c>
      <c r="S47" s="37"/>
      <c r="T47" s="5" t="s">
        <v>143</v>
      </c>
      <c r="U47" s="10"/>
      <c r="V47" s="20"/>
      <c r="W47" s="5" t="s">
        <v>51</v>
      </c>
      <c r="X47" s="38">
        <v>46036.0</v>
      </c>
      <c r="Y47" s="20"/>
      <c r="Z47" s="19"/>
      <c r="AA47" s="26" t="s">
        <v>41</v>
      </c>
      <c r="AB47" s="23">
        <v>46036.0</v>
      </c>
      <c r="AC47" s="20"/>
    </row>
    <row r="48" ht="22.5" customHeight="1">
      <c r="A48" s="5">
        <v>7.0</v>
      </c>
      <c r="B48" s="21">
        <v>4.0</v>
      </c>
      <c r="C48" s="5" t="s">
        <v>793</v>
      </c>
      <c r="D48" s="16" t="s">
        <v>64</v>
      </c>
      <c r="E48" s="7" t="str">
        <f>IFERROR(__xludf.DUMMYFUNCTION("IF(AND(F48 &gt; 0.3, F48 &lt; 0.5), SPARKLINE(F48,{""charttype"",""bar"";""color1"",""Gold"";""max"",1}),
IF(F48 = 1, SPARKLINE(F48,{""charttype"",""bar"";""color1"",""Lime"";""max"",1}),
IF(F48 &gt;= 0.5, SPARKLINE(F48,{""charttype"",""bar"";""color1"",""GreenYel"&amp;"low"";""max"",1}),
SPARKLINE(F48,{""charttype"",""bar"";""color1"",""DarkOrange"";""max"",1}))))"),"")</f>
        <v/>
      </c>
      <c r="F48" s="8">
        <f t="shared" si="1"/>
        <v>0.5</v>
      </c>
      <c r="G48" s="14" t="s">
        <v>353</v>
      </c>
      <c r="H48" s="5" t="s">
        <v>141</v>
      </c>
      <c r="I48" s="10">
        <v>45912.0</v>
      </c>
      <c r="J48" s="11" t="s">
        <v>33</v>
      </c>
      <c r="K48" s="5" t="s">
        <v>457</v>
      </c>
      <c r="L48" s="10">
        <v>46013.0</v>
      </c>
      <c r="M48" s="11" t="s">
        <v>33</v>
      </c>
      <c r="N48" s="5" t="s">
        <v>141</v>
      </c>
      <c r="O48" s="10"/>
      <c r="P48" s="11" t="s">
        <v>38</v>
      </c>
      <c r="Q48" s="5" t="s">
        <v>36</v>
      </c>
      <c r="R48" s="23">
        <v>46038.0</v>
      </c>
      <c r="S48" s="37"/>
      <c r="T48" s="5" t="s">
        <v>143</v>
      </c>
      <c r="U48" s="10"/>
      <c r="V48" s="20"/>
      <c r="W48" s="5" t="s">
        <v>51</v>
      </c>
      <c r="X48" s="38">
        <v>46038.0</v>
      </c>
      <c r="Y48" s="20"/>
      <c r="Z48" s="19"/>
      <c r="AA48" s="26" t="s">
        <v>41</v>
      </c>
      <c r="AB48" s="23">
        <v>46038.0</v>
      </c>
      <c r="AC48" s="20"/>
    </row>
    <row r="49" ht="22.5" customHeight="1">
      <c r="A49" s="5">
        <v>7.0</v>
      </c>
      <c r="B49" s="21">
        <v>5.0</v>
      </c>
      <c r="C49" s="5" t="s">
        <v>794</v>
      </c>
      <c r="D49" s="16" t="s">
        <v>30</v>
      </c>
      <c r="E49" s="7" t="str">
        <f>IFERROR(__xludf.DUMMYFUNCTION("IF(AND(F49 &gt; 0.3, F49 &lt; 0.5), SPARKLINE(F49,{""charttype"",""bar"";""color1"",""Gold"";""max"",1}),
IF(F49 = 1, SPARKLINE(F49,{""charttype"",""bar"";""color1"",""Lime"";""max"",1}),
IF(F49 &gt;= 0.5, SPARKLINE(F49,{""charttype"",""bar"";""color1"",""GreenYel"&amp;"low"";""max"",1}),
SPARKLINE(F49,{""charttype"",""bar"";""color1"",""DarkOrange"";""max"",1}))))"),"")</f>
        <v/>
      </c>
      <c r="F49" s="8">
        <f t="shared" si="1"/>
        <v>0.8</v>
      </c>
      <c r="G49" s="14" t="s">
        <v>795</v>
      </c>
      <c r="H49" s="5" t="s">
        <v>141</v>
      </c>
      <c r="I49" s="10">
        <v>45917.0</v>
      </c>
      <c r="J49" s="11" t="s">
        <v>33</v>
      </c>
      <c r="K49" s="5" t="s">
        <v>457</v>
      </c>
      <c r="L49" s="10">
        <v>46013.0</v>
      </c>
      <c r="M49" s="11" t="s">
        <v>38</v>
      </c>
      <c r="N49" s="5" t="s">
        <v>141</v>
      </c>
      <c r="O49" s="10">
        <v>46002.0</v>
      </c>
      <c r="P49" s="11" t="s">
        <v>33</v>
      </c>
      <c r="Q49" s="5" t="s">
        <v>36</v>
      </c>
      <c r="R49" s="23">
        <v>46013.0</v>
      </c>
      <c r="S49" s="12" t="s">
        <v>38</v>
      </c>
      <c r="T49" s="5" t="s">
        <v>143</v>
      </c>
      <c r="U49" s="10"/>
      <c r="V49" s="20"/>
      <c r="W49" s="5" t="s">
        <v>144</v>
      </c>
      <c r="X49" s="38">
        <v>46013.0</v>
      </c>
      <c r="Y49" s="11" t="s">
        <v>33</v>
      </c>
      <c r="Z49" s="39" t="s">
        <v>796</v>
      </c>
      <c r="AA49" s="26" t="s">
        <v>41</v>
      </c>
      <c r="AB49" s="23">
        <v>46013.0</v>
      </c>
      <c r="AC49" s="11" t="s">
        <v>33</v>
      </c>
    </row>
    <row r="50" ht="22.5" customHeight="1">
      <c r="A50" s="5">
        <v>7.0</v>
      </c>
      <c r="B50" s="21">
        <v>5.0</v>
      </c>
      <c r="C50" s="5" t="s">
        <v>797</v>
      </c>
      <c r="D50" s="16" t="s">
        <v>30</v>
      </c>
      <c r="E50" s="7" t="str">
        <f>IFERROR(__xludf.DUMMYFUNCTION("IF(AND(F50 &gt; 0.3, F50 &lt; 0.5), SPARKLINE(F50,{""charttype"",""bar"";""color1"",""Gold"";""max"",1}),
IF(F50 = 1, SPARKLINE(F50,{""charttype"",""bar"";""color1"",""Lime"";""max"",1}),
IF(F50 &gt;= 0.5, SPARKLINE(F50,{""charttype"",""bar"";""color1"",""GreenYel"&amp;"low"";""max"",1}),
SPARKLINE(F50,{""charttype"",""bar"";""color1"",""DarkOrange"";""max"",1}))))"),"")</f>
        <v/>
      </c>
      <c r="F50" s="8">
        <f t="shared" si="1"/>
        <v>0.8</v>
      </c>
      <c r="G50" s="14" t="s">
        <v>798</v>
      </c>
      <c r="H50" s="5" t="s">
        <v>141</v>
      </c>
      <c r="I50" s="10">
        <v>45917.0</v>
      </c>
      <c r="J50" s="11" t="s">
        <v>33</v>
      </c>
      <c r="K50" s="5" t="s">
        <v>457</v>
      </c>
      <c r="L50" s="10">
        <v>46013.0</v>
      </c>
      <c r="M50" s="11" t="s">
        <v>38</v>
      </c>
      <c r="N50" s="5" t="s">
        <v>141</v>
      </c>
      <c r="O50" s="10">
        <v>46002.0</v>
      </c>
      <c r="P50" s="11" t="s">
        <v>33</v>
      </c>
      <c r="Q50" s="5" t="s">
        <v>36</v>
      </c>
      <c r="R50" s="23">
        <v>46013.0</v>
      </c>
      <c r="S50" s="12" t="s">
        <v>38</v>
      </c>
      <c r="T50" s="5" t="s">
        <v>143</v>
      </c>
      <c r="U50" s="10"/>
      <c r="V50" s="20"/>
      <c r="W50" s="5" t="s">
        <v>144</v>
      </c>
      <c r="X50" s="38">
        <v>46013.0</v>
      </c>
      <c r="Y50" s="11" t="s">
        <v>33</v>
      </c>
      <c r="Z50" s="39" t="s">
        <v>799</v>
      </c>
      <c r="AA50" s="26" t="s">
        <v>41</v>
      </c>
      <c r="AB50" s="23">
        <v>46013.0</v>
      </c>
      <c r="AC50" s="11" t="s">
        <v>33</v>
      </c>
    </row>
    <row r="51" ht="22.5" customHeight="1">
      <c r="A51" s="5">
        <v>7.0</v>
      </c>
      <c r="B51" s="21">
        <v>5.0</v>
      </c>
      <c r="C51" s="5" t="s">
        <v>800</v>
      </c>
      <c r="D51" s="16" t="s">
        <v>30</v>
      </c>
      <c r="E51" s="7" t="str">
        <f>IFERROR(__xludf.DUMMYFUNCTION("IF(AND(F51 &gt; 0.3, F51 &lt; 0.5), SPARKLINE(F51,{""charttype"",""bar"";""color1"",""Gold"";""max"",1}),
IF(F51 = 1, SPARKLINE(F51,{""charttype"",""bar"";""color1"",""Lime"";""max"",1}),
IF(F51 &gt;= 0.5, SPARKLINE(F51,{""charttype"",""bar"";""color1"",""GreenYel"&amp;"low"";""max"",1}),
SPARKLINE(F51,{""charttype"",""bar"";""color1"",""DarkOrange"";""max"",1}))))"),"")</f>
        <v/>
      </c>
      <c r="F51" s="8">
        <f t="shared" si="1"/>
        <v>0.6</v>
      </c>
      <c r="G51" s="14" t="s">
        <v>801</v>
      </c>
      <c r="H51" s="5" t="s">
        <v>141</v>
      </c>
      <c r="I51" s="10">
        <v>45917.0</v>
      </c>
      <c r="J51" s="11" t="s">
        <v>33</v>
      </c>
      <c r="K51" s="5" t="s">
        <v>457</v>
      </c>
      <c r="L51" s="10">
        <v>46013.0</v>
      </c>
      <c r="M51" s="11" t="s">
        <v>38</v>
      </c>
      <c r="N51" s="5" t="s">
        <v>141</v>
      </c>
      <c r="O51" s="10">
        <v>46002.0</v>
      </c>
      <c r="P51" s="20"/>
      <c r="Q51" s="5" t="s">
        <v>36</v>
      </c>
      <c r="R51" s="23">
        <v>46013.0</v>
      </c>
      <c r="S51" s="37"/>
      <c r="T51" s="5" t="s">
        <v>143</v>
      </c>
      <c r="U51" s="10"/>
      <c r="V51" s="20"/>
      <c r="W51" s="5" t="s">
        <v>144</v>
      </c>
      <c r="X51" s="38">
        <v>46013.0</v>
      </c>
      <c r="Y51" s="11" t="s">
        <v>33</v>
      </c>
      <c r="Z51" s="39" t="s">
        <v>802</v>
      </c>
      <c r="AA51" s="26" t="s">
        <v>41</v>
      </c>
      <c r="AB51" s="23">
        <v>46013.0</v>
      </c>
      <c r="AC51" s="11" t="s">
        <v>33</v>
      </c>
    </row>
    <row r="52" ht="22.5" customHeight="1">
      <c r="A52" s="5">
        <v>7.0</v>
      </c>
      <c r="B52" s="21">
        <v>5.0</v>
      </c>
      <c r="C52" s="5" t="s">
        <v>803</v>
      </c>
      <c r="D52" s="16" t="s">
        <v>30</v>
      </c>
      <c r="E52" s="7" t="str">
        <f>IFERROR(__xludf.DUMMYFUNCTION("IF(AND(F52 &gt; 0.3, F52 &lt; 0.5), SPARKLINE(F52,{""charttype"",""bar"";""color1"",""Gold"";""max"",1}),
IF(F52 = 1, SPARKLINE(F52,{""charttype"",""bar"";""color1"",""Lime"";""max"",1}),
IF(F52 &gt;= 0.5, SPARKLINE(F52,{""charttype"",""bar"";""color1"",""GreenYel"&amp;"low"";""max"",1}),
SPARKLINE(F52,{""charttype"",""bar"";""color1"",""DarkOrange"";""max"",1}))))"),"")</f>
        <v/>
      </c>
      <c r="F52" s="8">
        <f t="shared" si="1"/>
        <v>0.6</v>
      </c>
      <c r="G52" s="14" t="s">
        <v>804</v>
      </c>
      <c r="H52" s="5" t="s">
        <v>141</v>
      </c>
      <c r="I52" s="10">
        <v>45917.0</v>
      </c>
      <c r="J52" s="11" t="s">
        <v>33</v>
      </c>
      <c r="K52" s="5" t="s">
        <v>457</v>
      </c>
      <c r="L52" s="10">
        <v>46013.0</v>
      </c>
      <c r="M52" s="11" t="s">
        <v>38</v>
      </c>
      <c r="N52" s="5" t="s">
        <v>141</v>
      </c>
      <c r="O52" s="10">
        <v>46002.0</v>
      </c>
      <c r="P52" s="20"/>
      <c r="Q52" s="5" t="s">
        <v>36</v>
      </c>
      <c r="R52" s="23">
        <v>46013.0</v>
      </c>
      <c r="S52" s="37"/>
      <c r="T52" s="5" t="s">
        <v>143</v>
      </c>
      <c r="U52" s="10"/>
      <c r="V52" s="20"/>
      <c r="W52" s="5" t="s">
        <v>144</v>
      </c>
      <c r="X52" s="38">
        <v>46013.0</v>
      </c>
      <c r="Y52" s="11" t="s">
        <v>33</v>
      </c>
      <c r="Z52" s="39" t="s">
        <v>805</v>
      </c>
      <c r="AA52" s="26" t="s">
        <v>41</v>
      </c>
      <c r="AB52" s="23">
        <v>46013.0</v>
      </c>
      <c r="AC52" s="11" t="s">
        <v>33</v>
      </c>
    </row>
    <row r="53" ht="22.5" customHeight="1">
      <c r="A53" s="5">
        <v>7.0</v>
      </c>
      <c r="B53" s="21">
        <v>5.0</v>
      </c>
      <c r="C53" s="5" t="s">
        <v>806</v>
      </c>
      <c r="D53" s="16" t="s">
        <v>49</v>
      </c>
      <c r="E53" s="7" t="str">
        <f>IFERROR(__xludf.DUMMYFUNCTION("IF(AND(F53 &gt; 0.3, F53 &lt; 0.5), SPARKLINE(F53,{""charttype"",""bar"";""color1"",""Gold"";""max"",1}),
IF(F53 = 1, SPARKLINE(F53,{""charttype"",""bar"";""color1"",""Lime"";""max"",1}),
IF(F53 &gt;= 0.5, SPARKLINE(F53,{""charttype"",""bar"";""color1"",""GreenYel"&amp;"low"";""max"",1}),
SPARKLINE(F53,{""charttype"",""bar"";""color1"",""DarkOrange"";""max"",1}))))"),"")</f>
        <v/>
      </c>
      <c r="F53" s="8">
        <f t="shared" si="1"/>
        <v>1</v>
      </c>
      <c r="G53" s="14" t="s">
        <v>807</v>
      </c>
      <c r="H53" s="5" t="s">
        <v>141</v>
      </c>
      <c r="I53" s="10">
        <v>45917.0</v>
      </c>
      <c r="J53" s="11" t="s">
        <v>33</v>
      </c>
      <c r="K53" s="5" t="s">
        <v>457</v>
      </c>
      <c r="L53" s="10">
        <v>45965.0</v>
      </c>
      <c r="M53" s="11" t="s">
        <v>33</v>
      </c>
      <c r="N53" s="5" t="s">
        <v>141</v>
      </c>
      <c r="O53" s="10"/>
      <c r="P53" s="11" t="s">
        <v>38</v>
      </c>
      <c r="Q53" s="5" t="s">
        <v>36</v>
      </c>
      <c r="R53" s="23">
        <v>46035.0</v>
      </c>
      <c r="S53" s="12"/>
      <c r="T53" s="5" t="s">
        <v>143</v>
      </c>
      <c r="U53" s="10"/>
      <c r="V53" s="20"/>
      <c r="W53" s="5" t="s">
        <v>51</v>
      </c>
      <c r="X53" s="38">
        <v>46035.0</v>
      </c>
      <c r="Y53" s="11" t="s">
        <v>33</v>
      </c>
      <c r="Z53" s="14" t="s">
        <v>808</v>
      </c>
      <c r="AA53" s="26" t="s">
        <v>41</v>
      </c>
      <c r="AB53" s="23">
        <v>46035.0</v>
      </c>
      <c r="AC53" s="11" t="s">
        <v>33</v>
      </c>
    </row>
    <row r="54" ht="22.5" customHeight="1">
      <c r="A54" s="5">
        <v>7.0</v>
      </c>
      <c r="B54" s="21">
        <v>5.0</v>
      </c>
      <c r="C54" s="5" t="s">
        <v>809</v>
      </c>
      <c r="D54" s="16" t="s">
        <v>49</v>
      </c>
      <c r="E54" s="7" t="str">
        <f>IFERROR(__xludf.DUMMYFUNCTION("IF(AND(F54 &gt; 0.3, F54 &lt; 0.5), SPARKLINE(F54,{""charttype"",""bar"";""color1"",""Gold"";""max"",1}),
IF(F54 = 1, SPARKLINE(F54,{""charttype"",""bar"";""color1"",""Lime"";""max"",1}),
IF(F54 &gt;= 0.5, SPARKLINE(F54,{""charttype"",""bar"";""color1"",""GreenYel"&amp;"low"";""max"",1}),
SPARKLINE(F54,{""charttype"",""bar"";""color1"",""DarkOrange"";""max"",1}))))"),"")</f>
        <v/>
      </c>
      <c r="F54" s="8">
        <f t="shared" si="1"/>
        <v>1</v>
      </c>
      <c r="G54" s="14" t="s">
        <v>810</v>
      </c>
      <c r="H54" s="5" t="s">
        <v>141</v>
      </c>
      <c r="I54" s="10">
        <v>45917.0</v>
      </c>
      <c r="J54" s="11" t="s">
        <v>33</v>
      </c>
      <c r="K54" s="5" t="s">
        <v>457</v>
      </c>
      <c r="L54" s="10">
        <v>45965.0</v>
      </c>
      <c r="M54" s="11" t="s">
        <v>33</v>
      </c>
      <c r="N54" s="5" t="s">
        <v>141</v>
      </c>
      <c r="O54" s="10"/>
      <c r="P54" s="20"/>
      <c r="Q54" s="5" t="s">
        <v>36</v>
      </c>
      <c r="R54" s="23">
        <v>46035.0</v>
      </c>
      <c r="S54" s="37"/>
      <c r="T54" s="5" t="s">
        <v>143</v>
      </c>
      <c r="U54" s="10"/>
      <c r="V54" s="20"/>
      <c r="W54" s="5" t="s">
        <v>51</v>
      </c>
      <c r="X54" s="38">
        <v>46035.0</v>
      </c>
      <c r="Y54" s="11" t="s">
        <v>33</v>
      </c>
      <c r="Z54" s="14" t="s">
        <v>811</v>
      </c>
      <c r="AA54" s="26" t="s">
        <v>41</v>
      </c>
      <c r="AB54" s="23">
        <v>46035.0</v>
      </c>
      <c r="AC54" s="11" t="s">
        <v>33</v>
      </c>
    </row>
    <row r="55" ht="22.5" customHeight="1">
      <c r="A55" s="5">
        <v>7.0</v>
      </c>
      <c r="B55" s="21">
        <v>5.0</v>
      </c>
      <c r="C55" s="5" t="s">
        <v>812</v>
      </c>
      <c r="D55" s="16" t="s">
        <v>49</v>
      </c>
      <c r="E55" s="7" t="str">
        <f>IFERROR(__xludf.DUMMYFUNCTION("IF(AND(F55 &gt; 0.3, F55 &lt; 0.5), SPARKLINE(F55,{""charttype"",""bar"";""color1"",""Gold"";""max"",1}),
IF(F55 = 1, SPARKLINE(F55,{""charttype"",""bar"";""color1"",""Lime"";""max"",1}),
IF(F55 &gt;= 0.5, SPARKLINE(F55,{""charttype"",""bar"";""color1"",""GreenYel"&amp;"low"";""max"",1}),
SPARKLINE(F55,{""charttype"",""bar"";""color1"",""DarkOrange"";""max"",1}))))"),"")</f>
        <v/>
      </c>
      <c r="F55" s="8">
        <f t="shared" si="1"/>
        <v>1</v>
      </c>
      <c r="G55" s="14" t="s">
        <v>813</v>
      </c>
      <c r="H55" s="5" t="s">
        <v>141</v>
      </c>
      <c r="I55" s="10">
        <v>45917.0</v>
      </c>
      <c r="J55" s="11" t="s">
        <v>33</v>
      </c>
      <c r="K55" s="5" t="s">
        <v>457</v>
      </c>
      <c r="L55" s="10">
        <v>45965.0</v>
      </c>
      <c r="M55" s="11" t="s">
        <v>33</v>
      </c>
      <c r="N55" s="5" t="s">
        <v>141</v>
      </c>
      <c r="O55" s="10"/>
      <c r="P55" s="20"/>
      <c r="Q55" s="5" t="s">
        <v>36</v>
      </c>
      <c r="R55" s="23">
        <v>46035.0</v>
      </c>
      <c r="S55" s="37"/>
      <c r="T55" s="5" t="s">
        <v>143</v>
      </c>
      <c r="U55" s="10"/>
      <c r="V55" s="20"/>
      <c r="W55" s="5" t="s">
        <v>51</v>
      </c>
      <c r="X55" s="38">
        <v>46035.0</v>
      </c>
      <c r="Y55" s="11" t="s">
        <v>33</v>
      </c>
      <c r="Z55" s="14" t="s">
        <v>814</v>
      </c>
      <c r="AA55" s="26" t="s">
        <v>41</v>
      </c>
      <c r="AB55" s="23">
        <v>46035.0</v>
      </c>
      <c r="AC55" s="11" t="s">
        <v>33</v>
      </c>
    </row>
    <row r="56" ht="22.5" customHeight="1">
      <c r="A56" s="5">
        <v>7.0</v>
      </c>
      <c r="B56" s="21">
        <v>5.0</v>
      </c>
      <c r="C56" s="5" t="s">
        <v>815</v>
      </c>
      <c r="D56" s="16" t="s">
        <v>49</v>
      </c>
      <c r="E56" s="7" t="str">
        <f>IFERROR(__xludf.DUMMYFUNCTION("IF(AND(F56 &gt; 0.3, F56 &lt; 0.5), SPARKLINE(F56,{""charttype"",""bar"";""color1"",""Gold"";""max"",1}),
IF(F56 = 1, SPARKLINE(F56,{""charttype"",""bar"";""color1"",""Lime"";""max"",1}),
IF(F56 &gt;= 0.5, SPARKLINE(F56,{""charttype"",""bar"";""color1"",""GreenYel"&amp;"low"";""max"",1}),
SPARKLINE(F56,{""charttype"",""bar"";""color1"",""DarkOrange"";""max"",1}))))"),"")</f>
        <v/>
      </c>
      <c r="F56" s="8">
        <f t="shared" si="1"/>
        <v>1</v>
      </c>
      <c r="G56" s="14" t="s">
        <v>816</v>
      </c>
      <c r="H56" s="5" t="s">
        <v>141</v>
      </c>
      <c r="I56" s="10">
        <v>45917.0</v>
      </c>
      <c r="J56" s="11" t="s">
        <v>33</v>
      </c>
      <c r="K56" s="5" t="s">
        <v>457</v>
      </c>
      <c r="L56" s="10">
        <v>45965.0</v>
      </c>
      <c r="M56" s="11" t="s">
        <v>33</v>
      </c>
      <c r="N56" s="5" t="s">
        <v>141</v>
      </c>
      <c r="O56" s="10"/>
      <c r="P56" s="20"/>
      <c r="Q56" s="5" t="s">
        <v>36</v>
      </c>
      <c r="R56" s="23">
        <v>46035.0</v>
      </c>
      <c r="S56" s="37"/>
      <c r="T56" s="5" t="s">
        <v>143</v>
      </c>
      <c r="U56" s="10"/>
      <c r="V56" s="20"/>
      <c r="W56" s="5" t="s">
        <v>51</v>
      </c>
      <c r="X56" s="38">
        <v>46035.0</v>
      </c>
      <c r="Y56" s="11" t="s">
        <v>33</v>
      </c>
      <c r="Z56" s="14" t="s">
        <v>817</v>
      </c>
      <c r="AA56" s="26" t="s">
        <v>41</v>
      </c>
      <c r="AB56" s="23">
        <v>46035.0</v>
      </c>
      <c r="AC56" s="11" t="s">
        <v>33</v>
      </c>
    </row>
    <row r="57" ht="22.5" customHeight="1">
      <c r="A57" s="5">
        <v>7.0</v>
      </c>
      <c r="B57" s="21">
        <v>5.0</v>
      </c>
      <c r="C57" s="5" t="s">
        <v>818</v>
      </c>
      <c r="D57" s="16" t="s">
        <v>60</v>
      </c>
      <c r="E57" s="7" t="str">
        <f>IFERROR(__xludf.DUMMYFUNCTION("IF(AND(F57 &gt; 0.3, F57 &lt; 0.5), SPARKLINE(F57,{""charttype"",""bar"";""color1"",""Gold"";""max"",1}),
IF(F57 = 1, SPARKLINE(F57,{""charttype"",""bar"";""color1"",""Lime"";""max"",1}),
IF(F57 &gt;= 0.5, SPARKLINE(F57,{""charttype"",""bar"";""color1"",""GreenYel"&amp;"low"";""max"",1}),
SPARKLINE(F57,{""charttype"",""bar"";""color1"",""DarkOrange"";""max"",1}))))"),"")</f>
        <v/>
      </c>
      <c r="F57" s="8">
        <f t="shared" si="1"/>
        <v>0.75</v>
      </c>
      <c r="G57" s="14" t="s">
        <v>819</v>
      </c>
      <c r="H57" s="5" t="s">
        <v>141</v>
      </c>
      <c r="I57" s="10">
        <v>45917.0</v>
      </c>
      <c r="J57" s="11" t="s">
        <v>33</v>
      </c>
      <c r="K57" s="5" t="s">
        <v>457</v>
      </c>
      <c r="L57" s="10">
        <v>46013.0</v>
      </c>
      <c r="M57" s="11" t="s">
        <v>33</v>
      </c>
      <c r="N57" s="5" t="s">
        <v>141</v>
      </c>
      <c r="O57" s="10"/>
      <c r="P57" s="11" t="s">
        <v>38</v>
      </c>
      <c r="Q57" s="5" t="s">
        <v>36</v>
      </c>
      <c r="R57" s="23">
        <v>46036.0</v>
      </c>
      <c r="S57" s="37"/>
      <c r="T57" s="5" t="s">
        <v>143</v>
      </c>
      <c r="U57" s="10"/>
      <c r="V57" s="20"/>
      <c r="W57" s="5" t="s">
        <v>51</v>
      </c>
      <c r="X57" s="38">
        <v>46036.0</v>
      </c>
      <c r="Y57" s="20"/>
      <c r="Z57" s="19"/>
      <c r="AA57" s="26" t="s">
        <v>41</v>
      </c>
      <c r="AB57" s="23">
        <v>46036.0</v>
      </c>
      <c r="AC57" s="11" t="s">
        <v>33</v>
      </c>
    </row>
    <row r="58" ht="22.5" customHeight="1">
      <c r="A58" s="5">
        <v>7.0</v>
      </c>
      <c r="B58" s="21">
        <v>5.0</v>
      </c>
      <c r="C58" s="5" t="s">
        <v>820</v>
      </c>
      <c r="D58" s="16" t="s">
        <v>64</v>
      </c>
      <c r="E58" s="7" t="str">
        <f>IFERROR(__xludf.DUMMYFUNCTION("IF(AND(F58 &gt; 0.3, F58 &lt; 0.5), SPARKLINE(F58,{""charttype"",""bar"";""color1"",""Gold"";""max"",1}),
IF(F58 = 1, SPARKLINE(F58,{""charttype"",""bar"";""color1"",""Lime"";""max"",1}),
IF(F58 &gt;= 0.5, SPARKLINE(F58,{""charttype"",""bar"";""color1"",""GreenYel"&amp;"low"";""max"",1}),
SPARKLINE(F58,{""charttype"",""bar"";""color1"",""DarkOrange"";""max"",1}))))"),"")</f>
        <v/>
      </c>
      <c r="F58" s="8">
        <f t="shared" si="1"/>
        <v>0.5</v>
      </c>
      <c r="G58" s="14" t="s">
        <v>821</v>
      </c>
      <c r="H58" s="5" t="s">
        <v>141</v>
      </c>
      <c r="I58" s="10">
        <v>45917.0</v>
      </c>
      <c r="J58" s="11" t="s">
        <v>33</v>
      </c>
      <c r="K58" s="5" t="s">
        <v>457</v>
      </c>
      <c r="L58" s="10">
        <v>46013.0</v>
      </c>
      <c r="M58" s="11" t="s">
        <v>33</v>
      </c>
      <c r="N58" s="5" t="s">
        <v>141</v>
      </c>
      <c r="O58" s="10"/>
      <c r="P58" s="11" t="s">
        <v>38</v>
      </c>
      <c r="Q58" s="5" t="s">
        <v>36</v>
      </c>
      <c r="R58" s="23">
        <v>46038.0</v>
      </c>
      <c r="S58" s="37"/>
      <c r="T58" s="5" t="s">
        <v>143</v>
      </c>
      <c r="U58" s="10"/>
      <c r="V58" s="20"/>
      <c r="W58" s="5" t="s">
        <v>51</v>
      </c>
      <c r="X58" s="38">
        <v>46038.0</v>
      </c>
      <c r="Y58" s="20"/>
      <c r="Z58" s="19"/>
      <c r="AA58" s="26" t="s">
        <v>41</v>
      </c>
      <c r="AB58" s="23">
        <v>46038.0</v>
      </c>
      <c r="AC58" s="20"/>
    </row>
    <row r="59" ht="22.5" customHeight="1">
      <c r="A59" s="5">
        <v>7.0</v>
      </c>
      <c r="B59" s="21">
        <v>5.0</v>
      </c>
      <c r="C59" s="5" t="s">
        <v>822</v>
      </c>
      <c r="D59" s="16" t="s">
        <v>169</v>
      </c>
      <c r="E59" s="7" t="str">
        <f>IFERROR(__xludf.DUMMYFUNCTION("IF(AND(F59 &gt; 0.3, F59 &lt; 0.5), SPARKLINE(F59,{""charttype"",""bar"";""color1"",""Gold"";""max"",1}),
IF(F59 = 1, SPARKLINE(F59,{""charttype"",""bar"";""color1"",""Lime"";""max"",1}),
IF(F59 &gt;= 0.5, SPARKLINE(F59,{""charttype"",""bar"";""color1"",""GreenYel"&amp;"low"";""max"",1}),
SPARKLINE(F59,{""charttype"",""bar"";""color1"",""DarkOrange"";""max"",1}))))"),"")</f>
        <v/>
      </c>
      <c r="F59" s="8">
        <f t="shared" si="1"/>
        <v>0.2</v>
      </c>
      <c r="G59" s="19"/>
      <c r="H59" s="5" t="s">
        <v>141</v>
      </c>
      <c r="I59" s="10">
        <v>45917.0</v>
      </c>
      <c r="J59" s="11" t="s">
        <v>33</v>
      </c>
      <c r="K59" s="5" t="s">
        <v>457</v>
      </c>
      <c r="L59" s="10">
        <v>46013.0</v>
      </c>
      <c r="M59" s="11" t="s">
        <v>38</v>
      </c>
      <c r="N59" s="5" t="s">
        <v>141</v>
      </c>
      <c r="O59" s="10">
        <v>46002.0</v>
      </c>
      <c r="P59" s="20"/>
      <c r="Q59" s="5" t="s">
        <v>36</v>
      </c>
      <c r="R59" s="23">
        <v>46013.0</v>
      </c>
      <c r="S59" s="37"/>
      <c r="T59" s="5" t="s">
        <v>143</v>
      </c>
      <c r="U59" s="10"/>
      <c r="V59" s="20"/>
      <c r="W59" s="5" t="s">
        <v>144</v>
      </c>
      <c r="X59" s="38">
        <v>46013.0</v>
      </c>
      <c r="Y59" s="20"/>
      <c r="Z59" s="14" t="s">
        <v>823</v>
      </c>
      <c r="AA59" s="26" t="s">
        <v>41</v>
      </c>
      <c r="AB59" s="23">
        <v>46013.0</v>
      </c>
      <c r="AC59" s="20"/>
    </row>
    <row r="60" ht="22.5" customHeight="1">
      <c r="A60" s="5">
        <v>7.0</v>
      </c>
      <c r="B60" s="21">
        <v>5.0</v>
      </c>
      <c r="C60" s="5" t="s">
        <v>824</v>
      </c>
      <c r="D60" s="16" t="s">
        <v>72</v>
      </c>
      <c r="E60" s="7" t="str">
        <f>IFERROR(__xludf.DUMMYFUNCTION("IF(AND(F60 &gt; 0.3, F60 &lt; 0.5), SPARKLINE(F60,{""charttype"",""bar"";""color1"",""Gold"";""max"",1}),
IF(F60 = 1, SPARKLINE(F60,{""charttype"",""bar"";""color1"",""Lime"";""max"",1}),
IF(F60 &gt;= 0.5, SPARKLINE(F60,{""charttype"",""bar"";""color1"",""GreenYel"&amp;"low"";""max"",1}),
SPARKLINE(F60,{""charttype"",""bar"";""color1"",""DarkOrange"";""max"",1}))))"),"")</f>
        <v/>
      </c>
      <c r="F60" s="8">
        <f t="shared" si="1"/>
        <v>0.25</v>
      </c>
      <c r="G60" s="14" t="s">
        <v>825</v>
      </c>
      <c r="H60" s="5" t="s">
        <v>141</v>
      </c>
      <c r="I60" s="10">
        <v>45917.0</v>
      </c>
      <c r="J60" s="11" t="s">
        <v>33</v>
      </c>
      <c r="K60" s="5" t="s">
        <v>457</v>
      </c>
      <c r="L60" s="10">
        <v>46013.0</v>
      </c>
      <c r="M60" s="11" t="s">
        <v>38</v>
      </c>
      <c r="N60" s="5" t="s">
        <v>141</v>
      </c>
      <c r="O60" s="10"/>
      <c r="P60" s="11"/>
      <c r="Q60" s="5" t="s">
        <v>36</v>
      </c>
      <c r="R60" s="23">
        <v>46036.0</v>
      </c>
      <c r="S60" s="37"/>
      <c r="T60" s="5" t="s">
        <v>143</v>
      </c>
      <c r="U60" s="10"/>
      <c r="V60" s="20"/>
      <c r="W60" s="5" t="s">
        <v>51</v>
      </c>
      <c r="X60" s="38">
        <v>46036.0</v>
      </c>
      <c r="Y60" s="20"/>
      <c r="Z60" s="19"/>
      <c r="AA60" s="26" t="s">
        <v>41</v>
      </c>
      <c r="AB60" s="23">
        <v>46036.0</v>
      </c>
      <c r="AC60" s="20"/>
    </row>
  </sheetData>
  <dataValidations>
    <dataValidation type="list" allowBlank="1" sqref="J2:J60 P2:P60 S2:S60 V2:V60 Y2:Y60">
      <formula1>"Concluído,Em Andamento,Pendente,Precisa de Alteração"</formula1>
    </dataValidation>
    <dataValidation type="custom" allowBlank="1" showDropDown="1" sqref="I2:I60 L2:L60 O2:O60 R2:R60 U2:U60 X2:X60 AB2:AB60">
      <formula1>OR(NOT(ISERROR(DATEVALUE(I2))), AND(ISNUMBER(I2), LEFT(CELL("format", I2))="D"))</formula1>
    </dataValidation>
    <dataValidation type="list" allowBlank="1" sqref="M2:M60 AC2:AC60">
      <formula1>"Concluído,Em Andamento,Pendente,Aguardando Correção"</formula1>
    </dataValidation>
    <dataValidation type="custom" allowBlank="1" showDropDown="1" sqref="F2:F60">
      <formula1>AND(ISNUMBER(F2),(NOT(OR(NOT(ISERROR(DATEVALUE(F2))), AND(ISNUMBER(F2), LEFT(CELL("format", F2))="D")))))</formula1>
    </dataValidation>
  </dataValidations>
  <hyperlinks>
    <hyperlink r:id="rId1" ref="G2"/>
    <hyperlink r:id="rId2" ref="Z2"/>
    <hyperlink r:id="rId3" ref="G3"/>
    <hyperlink r:id="rId4" ref="Z3"/>
    <hyperlink r:id="rId5" ref="G4"/>
    <hyperlink r:id="rId6" ref="Z4"/>
    <hyperlink r:id="rId7" ref="G5"/>
    <hyperlink r:id="rId8" ref="Z5"/>
    <hyperlink r:id="rId9" ref="G6"/>
    <hyperlink r:id="rId10" ref="Z6"/>
    <hyperlink r:id="rId11" ref="G7"/>
    <hyperlink r:id="rId12" ref="Z7"/>
    <hyperlink r:id="rId13" ref="G8"/>
    <hyperlink r:id="rId14" ref="Z8"/>
    <hyperlink r:id="rId15" ref="G9"/>
    <hyperlink r:id="rId16" ref="Z9"/>
    <hyperlink r:id="rId17" ref="G10"/>
    <hyperlink r:id="rId18" ref="Z10"/>
    <hyperlink r:id="rId19" ref="G11"/>
    <hyperlink r:id="rId20" ref="Z11"/>
    <hyperlink r:id="rId21" ref="G12"/>
    <hyperlink r:id="rId22" ref="Z12"/>
    <hyperlink r:id="rId23" ref="G13"/>
    <hyperlink r:id="rId24" ref="Z13"/>
    <hyperlink r:id="rId25" ref="G14"/>
    <hyperlink r:id="rId26" ref="Z14"/>
    <hyperlink r:id="rId27" ref="G15"/>
    <hyperlink r:id="rId28" ref="Z15"/>
    <hyperlink r:id="rId29" ref="G16"/>
    <hyperlink r:id="rId30" ref="Z16"/>
    <hyperlink r:id="rId31" ref="G17"/>
    <hyperlink r:id="rId32" ref="Z17"/>
    <hyperlink r:id="rId33" ref="G18"/>
    <hyperlink r:id="rId34" ref="Z18"/>
    <hyperlink r:id="rId35" ref="G19"/>
    <hyperlink r:id="rId36" ref="Z19"/>
    <hyperlink r:id="rId37" ref="G20"/>
    <hyperlink r:id="rId38" ref="Z20"/>
    <hyperlink r:id="rId39" ref="G21"/>
    <hyperlink r:id="rId40" ref="Z21"/>
    <hyperlink r:id="rId41" ref="G22"/>
    <hyperlink r:id="rId42" ref="Z22"/>
    <hyperlink r:id="rId43" ref="G23"/>
    <hyperlink r:id="rId44" ref="G24"/>
    <hyperlink r:id="rId45" ref="G25"/>
    <hyperlink r:id="rId46" ref="Z25"/>
    <hyperlink r:id="rId47" ref="G26"/>
    <hyperlink r:id="rId48" ref="Z26"/>
    <hyperlink r:id="rId49" ref="G27"/>
    <hyperlink r:id="rId50" ref="Z27"/>
    <hyperlink r:id="rId51" ref="G28"/>
    <hyperlink r:id="rId52" ref="Z28"/>
    <hyperlink r:id="rId53" ref="G29"/>
    <hyperlink r:id="rId54" ref="Z29"/>
    <hyperlink r:id="rId55" ref="G30"/>
    <hyperlink r:id="rId56" ref="Z30"/>
    <hyperlink r:id="rId57" ref="G31"/>
    <hyperlink r:id="rId58" ref="Z31"/>
    <hyperlink r:id="rId59" ref="G32"/>
    <hyperlink r:id="rId60" ref="Z32"/>
    <hyperlink r:id="rId61" ref="G33"/>
    <hyperlink r:id="rId62" ref="Z33"/>
    <hyperlink r:id="rId63" ref="G34"/>
    <hyperlink r:id="rId64" ref="Z34"/>
    <hyperlink r:id="rId65" ref="G35"/>
    <hyperlink r:id="rId66" ref="G36"/>
    <hyperlink r:id="rId67" ref="G37"/>
    <hyperlink r:id="rId68" ref="Z37"/>
    <hyperlink r:id="rId69" ref="G38"/>
    <hyperlink r:id="rId70" ref="Z38"/>
    <hyperlink r:id="rId71" ref="G39"/>
    <hyperlink r:id="rId72" ref="Z39"/>
    <hyperlink r:id="rId73" ref="G40"/>
    <hyperlink r:id="rId74" ref="Z40"/>
    <hyperlink r:id="rId75" ref="G41"/>
    <hyperlink r:id="rId76" ref="Z41"/>
    <hyperlink r:id="rId77" ref="G42"/>
    <hyperlink r:id="rId78" ref="Z42"/>
    <hyperlink r:id="rId79" ref="G43"/>
    <hyperlink r:id="rId80" ref="Z43"/>
    <hyperlink r:id="rId81" ref="G44"/>
    <hyperlink r:id="rId82" ref="Z44"/>
    <hyperlink r:id="rId83" ref="G45"/>
    <hyperlink r:id="rId84" ref="Z45"/>
    <hyperlink r:id="rId85" ref="G46"/>
    <hyperlink r:id="rId86" ref="Z46"/>
    <hyperlink r:id="rId87" ref="G47"/>
    <hyperlink r:id="rId88" ref="G48"/>
    <hyperlink r:id="rId89" ref="G49"/>
    <hyperlink r:id="rId90" ref="Z49"/>
    <hyperlink r:id="rId91" ref="G50"/>
    <hyperlink r:id="rId92" ref="Z50"/>
    <hyperlink r:id="rId93" ref="G51"/>
    <hyperlink r:id="rId94" ref="Z51"/>
    <hyperlink r:id="rId95" ref="G52"/>
    <hyperlink r:id="rId96" ref="Z52"/>
    <hyperlink r:id="rId97" ref="G53"/>
    <hyperlink r:id="rId98" ref="Z53"/>
    <hyperlink r:id="rId99" ref="G54"/>
    <hyperlink r:id="rId100" ref="Z54"/>
    <hyperlink r:id="rId101" ref="G55"/>
    <hyperlink r:id="rId102" ref="Z55"/>
    <hyperlink r:id="rId103" ref="G56"/>
    <hyperlink r:id="rId104" ref="Z56"/>
    <hyperlink r:id="rId105" ref="G57"/>
    <hyperlink r:id="rId106" ref="G58"/>
    <hyperlink r:id="rId107" ref="Z59"/>
    <hyperlink r:id="rId108" ref="G60"/>
  </hyperlinks>
  <drawing r:id="rId109"/>
  <tableParts count="1">
    <tablePart r:id="rId111"/>
  </tableParts>
</worksheet>
</file>