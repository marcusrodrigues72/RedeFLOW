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 1" sheetId="1" r:id="rId5"/>
    <sheet state="visible" name="Unidade 2" sheetId="2" r:id="rId6"/>
    <sheet state="visible" name="Unidade 3" sheetId="3" r:id="rId7"/>
    <sheet state="visible" name="Unidade 4" sheetId="4" r:id="rId8"/>
    <sheet state="visible" name="Unidade 5" sheetId="5" r:id="rId9"/>
    <sheet state="visible" name="Unidade 6" sheetId="6" r:id="rId10"/>
    <sheet state="visible" name="Unidade 7" sheetId="7" r:id="rId11"/>
    <sheet state="visible" name="Unidade 8" sheetId="8" r:id="rId12"/>
  </sheets>
  <definedNames>
    <definedName hidden="1" localSheetId="0" name="_xlnm._FilterDatabase">'Unidade 1'!$A$1:$AC$20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tc={30982177-7063-41a9-9fa1-6bcac014f6f4}</author>
    <author>tc={690e45d0-864e-415e-8339-366d6fc93cc5}</author>
    <author>tc={88c9d380-ab08-42f2-9660-af747d08d505}</author>
    <author>tc={8fe2d559-0806-42c8-844b-9ca525dc82e2}</author>
  </authors>
  <commentList>
    <comment authorId="0" xr:uid="{30982177-7063-41a9-9fa1-6bcac014f6f4}" ref="Z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capa está com Unidade 3 Capítulo 3, este ebook é da unidade 2
</t>
      </text>
    </comment>
    <comment authorId="1" xr:uid="{690e45d0-864e-415e-8339-366d6fc93cc5}" ref="Z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ebook está sem a capa final
</t>
      </text>
    </comment>
    <comment authorId="2" xr:uid="{88c9d380-ab08-42f2-9660-af747d08d505}" ref="Z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capa da tarefa está como capítulo 2
</t>
      </text>
    </comment>
    <comment authorId="3" xr:uid="{8fe2d559-0806-42c8-844b-9ca525dc82e2}" ref="Z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título e subtítulo da página 3 estão incorretos.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tc={049bbe01-0dc7-431a-8ce2-8d2e1fc3758d}</author>
    <author>tc={614e3a8d-ea6f-472b-8ab6-6572ed97a1a3}</author>
    <author>tc={75cee125-5b43-47e4-befc-a0efe4bd44c6}</author>
    <author>tc={7e0eb507-30d6-4b99-a149-9d11752036e6}</author>
    <author>tc={ab1f4c38-f7d6-4a5e-a6be-c721ac2606de}</author>
    <author>tc={ae678569-cfb1-44b6-bfe1-b26394e4d1dd}</author>
    <author>tc={e3ab7158-6c3b-43a3-96a4-61fadd478698}</author>
  </authors>
  <commentList>
    <comment authorId="0" xr:uid="{049bbe01-0dc7-431a-8ce2-8d2e1fc3758d}" ref="Z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professor sai da tela durante a explicação 11:01min
</t>
      </text>
    </comment>
    <comment authorId="1" xr:uid="{614e3a8d-ea6f-472b-8ab6-6572ed97a1a3}" ref="Z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Aidentidade visual está na frente do professor
</t>
      </text>
    </comment>
    <comment authorId="2" xr:uid="{75cee125-5b43-47e4-befc-a0efe4bd44c6}" ref="Z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Diversas vezes a partir do momento 16:20, o professor sai da tela
</t>
      </text>
    </comment>
    <comment authorId="3" xr:uid="{7e0eb507-30d6-4b99-a149-9d11752036e6}" ref="Z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professor está várias vezes saindo da tela
</t>
      </text>
    </comment>
    <comment authorId="4" xr:uid="{ab1f4c38-f7d6-4a5e-a6be-c721ac2606de}" ref="Z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final do vídeo 21:05min o professor sai da tela
</t>
      </text>
    </comment>
    <comment authorId="5" xr:uid="{ae678569-cfb1-44b6-bfe1-b26394e4d1dd}" ref="Z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final do vídeo o professor não está enquadrado na tela
</t>
      </text>
    </comment>
    <comment authorId="6" xr:uid="{e3ab7158-6c3b-43a3-96a4-61fadd478698}" ref="Z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começo do vídeo o professor explica sobre o cronograma do padis 1, sendo que esse cuso é uma matriz diferente. Cortar essa parte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tc={005be62b-399c-489b-937b-28e0b0254e68}</author>
    <author>tc={3818e9ff-daf3-4ad6-89d5-48b399a288d3}</author>
    <author>tc={3b18c7a1-ede3-4614-9f24-4b24b82550de}</author>
    <author>tc={488e9351-ff5f-47a7-9903-21600d6afce9}</author>
    <author>tc={6a0990a8-d98f-40d6-9db9-b7759fe75b69}</author>
    <author>tc={77080400-77c4-4919-a22a-8186c5c95e27}</author>
    <author>tc={8349cfed-0a7b-4668-99c7-3c66a87a0452}</author>
    <author>tc={8ef1ec58-2ae5-439f-b1cf-36b6ad09752b}</author>
    <author>tc={8fd49e33-0bb0-44ca-b330-ac404fca8063}</author>
    <author>tc={b9654bc2-4e42-45da-8359-c5d536608cf4}</author>
    <author>tc={d893340f-40bf-422e-a058-12b5418592cf}</author>
  </authors>
  <commentList>
    <comment authorId="0" xr:uid="{005be62b-399c-489b-937b-28e0b0254e68}" ref="Z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Tirar a parte do começo dos vídeos em que o professor faz menção a unidade e capítulo
</t>
      </text>
    </comment>
    <comment authorId="1" xr:uid="{3818e9ff-daf3-4ad6-89d5-48b399a288d3}" ref="Z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início do vídeo o professor fala que irá começar a unidade 2. Retirar esta parte
</t>
      </text>
    </comment>
    <comment authorId="2" xr:uid="{3b18c7a1-ede3-4614-9f24-4b24b82550de}" ref="Z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inicio do conteúdo do ebook está Unidade 1 Capítulo 1. Corrigir para a unidade e capítulo correspondente
</t>
      </text>
    </comment>
    <comment authorId="3" xr:uid="{488e9351-ff5f-47a7-9903-21600d6afce9}" ref="Z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identidade visual está na frente do professor
</t>
      </text>
    </comment>
    <comment authorId="4" xr:uid="{6a0990a8-d98f-40d6-9db9-b7759fe75b69}" ref="Z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identidade visual está na  frente da tela do professor
</t>
      </text>
    </comment>
    <comment authorId="5" xr:uid="{77080400-77c4-4919-a22a-8186c5c95e27}" ref="Z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Corrigir a Unidade e Capítulo que aparecem no incio do ebook
</t>
      </text>
    </comment>
    <comment authorId="6" xr:uid="{8349cfed-0a7b-4668-99c7-3c66a87a0452}" ref="Z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identidade visual está na frente do professor
</t>
      </text>
    </comment>
    <comment authorId="7" xr:uid="{8ef1ec58-2ae5-439f-b1cf-36b6ad09752b}" ref="Z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identidade visual está na frente da tela do professor
</t>
      </text>
    </comment>
    <comment authorId="8" xr:uid="{8fd49e33-0bb0-44ca-b330-ac404fca8063}" ref="Z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Corrigir a Unidade e Capítulo que aparecem no incio do ebook
</t>
      </text>
    </comment>
    <comment authorId="9" xr:uid="{b9654bc2-4e42-45da-8359-c5d536608cf4}" ref="Z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identidade visual está na frente do professor
</t>
      </text>
    </comment>
    <comment authorId="10" xr:uid="{d893340f-40bf-422e-a058-12b5418592cf}" ref="Z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identidade visual está na frente do professor
</t>
      </text>
    </comment>
  </commentList>
</comments>
</file>

<file path=xl/sharedStrings.xml><?xml version="1.0" encoding="utf-8"?>
<sst xmlns="http://schemas.openxmlformats.org/spreadsheetml/2006/main" count="2729" uniqueCount="687">
  <si>
    <t xml:space="preserve">Unidade </t>
  </si>
  <si>
    <t>Capítulo</t>
  </si>
  <si>
    <t>Código do Objeto</t>
  </si>
  <si>
    <t>Tipo de Objeto</t>
  </si>
  <si>
    <t>Progresso</t>
  </si>
  <si>
    <t xml:space="preserve">% </t>
  </si>
  <si>
    <t>🔗 Objeto</t>
  </si>
  <si>
    <t>Conteudista</t>
  </si>
  <si>
    <t>Deadline Conteudi</t>
  </si>
  <si>
    <t>Status Conteudista</t>
  </si>
  <si>
    <t>DI</t>
  </si>
  <si>
    <t>Deadline DI</t>
  </si>
  <si>
    <t>Status DI</t>
  </si>
  <si>
    <t>Prof. Ator</t>
  </si>
  <si>
    <t>Deadline Gravação</t>
  </si>
  <si>
    <t>Status Gravação</t>
  </si>
  <si>
    <t>Prof. Técnico</t>
  </si>
  <si>
    <t>Deadline Revisão</t>
  </si>
  <si>
    <t>Status Revisão</t>
  </si>
  <si>
    <t>Produtor Acessi</t>
  </si>
  <si>
    <t>Deadline Acessibili</t>
  </si>
  <si>
    <t>Status Acessibilidade</t>
  </si>
  <si>
    <t>Produtor</t>
  </si>
  <si>
    <t>Deadline Produtor</t>
  </si>
  <si>
    <t>Status Produtor</t>
  </si>
  <si>
    <t>🔗Objeto Final</t>
  </si>
  <si>
    <t>Validação Final</t>
  </si>
  <si>
    <t>Deadline Final</t>
  </si>
  <si>
    <t>Status Validação Final</t>
  </si>
  <si>
    <t>U1C1O1V1</t>
  </si>
  <si>
    <t>Roteiro de Vídeo</t>
  </si>
  <si>
    <t>Padis-U1C1O1V1</t>
  </si>
  <si>
    <t>davi@fmm.org.br</t>
  </si>
  <si>
    <t>Concluído</t>
  </si>
  <si>
    <t>Janyeire Oliveira</t>
  </si>
  <si>
    <t>Pendente</t>
  </si>
  <si>
    <t>PADIS 2 - U1C1O1V1 - Roteiro de vídeo.mp4</t>
  </si>
  <si>
    <t>Nicolas Marques</t>
  </si>
  <si>
    <t>U1C1O1V2</t>
  </si>
  <si>
    <t>Padis-U1C1O1V2</t>
  </si>
  <si>
    <r>
      <rPr>
        <color rgb="FF1155CC"/>
        <u/>
      </rPr>
      <t>PADIS 2 - U1C1O1V2  - Roteiro de vídeo.mp</t>
    </r>
    <r>
      <rPr/>
      <t>4</t>
    </r>
  </si>
  <si>
    <t>U1C1O1V3</t>
  </si>
  <si>
    <t>Padis-U1C1O1V3</t>
  </si>
  <si>
    <r>
      <rPr>
        <color rgb="FF1155CC"/>
        <u/>
      </rPr>
      <t>PADIS 2 - U1C1O1V3  - Roteiro de vídeo.mp</t>
    </r>
    <r>
      <rPr/>
      <t>4</t>
    </r>
  </si>
  <si>
    <t>U1C1O1S1</t>
  </si>
  <si>
    <t>Slide</t>
  </si>
  <si>
    <t>Padis-U1C1O1S1</t>
  </si>
  <si>
    <t>Designers</t>
  </si>
  <si>
    <t>Padis - U1C1O1S1 - Slide</t>
  </si>
  <si>
    <t>U1C1O1S2</t>
  </si>
  <si>
    <t>Padis-U1C1O1S2</t>
  </si>
  <si>
    <t>Padis - U1C1O1S2 - Slide.pdf</t>
  </si>
  <si>
    <t>U1C1O1S3</t>
  </si>
  <si>
    <t>Padis-U1C1O1S3</t>
  </si>
  <si>
    <t>Padis - U1C1O1S3 - Slide.pdf</t>
  </si>
  <si>
    <t>U1C1O1Q1</t>
  </si>
  <si>
    <t>Quiz</t>
  </si>
  <si>
    <t>Padis-U1C1O1Q1</t>
  </si>
  <si>
    <t>Padis - U1C1O1Q1 - Quiz.pdf</t>
  </si>
  <si>
    <t>U1C1O1P1</t>
  </si>
  <si>
    <t>Plano de Aula</t>
  </si>
  <si>
    <t>Padis-U1C1O1P1</t>
  </si>
  <si>
    <t>Padis - U1C1O1P1 - Plano de Aula.pdf</t>
  </si>
  <si>
    <t>U1C1O1E1</t>
  </si>
  <si>
    <t>Ebook</t>
  </si>
  <si>
    <t>Padis-U1C1O1E1</t>
  </si>
  <si>
    <t>Padis - U1C1O1E1 - Ebook.pdf</t>
  </si>
  <si>
    <t>U1C2O1V1</t>
  </si>
  <si>
    <t>Padis-U1C2O1V1</t>
  </si>
  <si>
    <r>
      <rPr>
        <color rgb="FF1155CC"/>
        <u/>
      </rPr>
      <t>PADIS 2 - U1C2O1V1  - Roteiro de vídeo.mp</t>
    </r>
    <r>
      <rPr/>
      <t>4</t>
    </r>
  </si>
  <si>
    <t>U1C2O1V2</t>
  </si>
  <si>
    <t>Padis-U1C2O1V2</t>
  </si>
  <si>
    <r>
      <rPr>
        <color rgb="FF1155CC"/>
        <u/>
      </rPr>
      <t>PADIS 2 - U1C2O1V2  - Roteiro de vídeo.mp</t>
    </r>
    <r>
      <rPr/>
      <t>4</t>
    </r>
  </si>
  <si>
    <t>U1C2O1V3</t>
  </si>
  <si>
    <t>Padis-U1C2O1V3</t>
  </si>
  <si>
    <t xml:space="preserve"> PADIS 2 - U1C2O1V3 - Roteiro de vídeo.mp4</t>
  </si>
  <si>
    <t>U1C2O1S1</t>
  </si>
  <si>
    <t>Padis-U1C2O1S1</t>
  </si>
  <si>
    <t>Padis - U1C2O1S1 - Slide.pdf</t>
  </si>
  <si>
    <t>U1C2O1S2</t>
  </si>
  <si>
    <t>Padis-U1C2O1S2</t>
  </si>
  <si>
    <t>Padis - U1C2O1S2 - Slide.pdf</t>
  </si>
  <si>
    <t>U1C2O1S3</t>
  </si>
  <si>
    <t>Padis-U1C2O1S3</t>
  </si>
  <si>
    <t>Padis - U1C2O1S3 - Slide.pdf</t>
  </si>
  <si>
    <t>U1C2O1Q1</t>
  </si>
  <si>
    <t>Padis-U1C2O1Q1</t>
  </si>
  <si>
    <t>Padis - U1C2O1Q1 - Quiz.pdf</t>
  </si>
  <si>
    <t>U1C2O1P1</t>
  </si>
  <si>
    <t>Padis-U1C2O1P1</t>
  </si>
  <si>
    <t>Padis - U1C2O1P1 - Plano de Aula.pdf</t>
  </si>
  <si>
    <t>U1C2O1E1</t>
  </si>
  <si>
    <t>Padis-U1C2O1E1</t>
  </si>
  <si>
    <t>Padis - U1C2O1E1 - Ebook.pdf</t>
  </si>
  <si>
    <t>U1C2O3T1</t>
  </si>
  <si>
    <t>Tarefa</t>
  </si>
  <si>
    <t>Padis-U1C2O3T1</t>
  </si>
  <si>
    <t>Não há</t>
  </si>
  <si>
    <t>Padis - U1C2O3T1 - Tarefa.pdf</t>
  </si>
  <si>
    <t>U2C1O1V1</t>
  </si>
  <si>
    <t>Padis-U2C1O1V1</t>
  </si>
  <si>
    <t>Jose Tarcizio Gomes Filho</t>
  </si>
  <si>
    <t>Prof. Glaucionor</t>
  </si>
  <si>
    <t>PADIS 2 - U2C1O1V1 - Roteiro de vídeo.mp4</t>
  </si>
  <si>
    <t>U2C1O1V2</t>
  </si>
  <si>
    <t>Padis-U2C1O1V2</t>
  </si>
  <si>
    <t>PADIS 2 - U2C1O1V2 - Roteiro de vídeo.mp4</t>
  </si>
  <si>
    <t>U2C1O1P1</t>
  </si>
  <si>
    <t>Padis-U2C1O1P1</t>
  </si>
  <si>
    <t>PADIS 2 - U2C1O1P1 - Plano de aula.pdf</t>
  </si>
  <si>
    <t>U2C1O1S1</t>
  </si>
  <si>
    <t>Padis-U2C1O1S1</t>
  </si>
  <si>
    <t>U2C1O1E1</t>
  </si>
  <si>
    <t>Padis-U2C1O1E1</t>
  </si>
  <si>
    <t>Padis - U2C1O1E1 - Ebook.pdf</t>
  </si>
  <si>
    <t>U2C2O1V1</t>
  </si>
  <si>
    <t>Padis-U2C2O1V1</t>
  </si>
  <si>
    <t>PADIS 2 - U2C2O1V1 - Roteiro de vídeo.mp4</t>
  </si>
  <si>
    <t>U2C2O1V2</t>
  </si>
  <si>
    <t>Padis-U2C2O1V2</t>
  </si>
  <si>
    <t>PADIS 2 - U2C2O1V2 - Roteiro de vídeo.mp4</t>
  </si>
  <si>
    <t>U2C2O1P1</t>
  </si>
  <si>
    <t>Padis-U2C2O1P1</t>
  </si>
  <si>
    <t>Padis - U2C2O1P1 - Plano de aula.pdf</t>
  </si>
  <si>
    <t>U2C2O1S1</t>
  </si>
  <si>
    <t>Padis-U2C2O1S1</t>
  </si>
  <si>
    <t>Padis - U2C2O1S1 - Slide.pdf</t>
  </si>
  <si>
    <t>U2C2O1E1</t>
  </si>
  <si>
    <t>Padis-U2C2O1E1</t>
  </si>
  <si>
    <t>PADIS 2 - U2C2O1E1 - Ebook.pdf</t>
  </si>
  <si>
    <t>U2C3O1V1</t>
  </si>
  <si>
    <t>Padis-U2C3O1V1</t>
  </si>
  <si>
    <t>PADIS 2 - U2C3O1V1 - Roteiro de vídeo.mp4</t>
  </si>
  <si>
    <t>U2C3O1V2</t>
  </si>
  <si>
    <t>Padis-U2C3O1V2</t>
  </si>
  <si>
    <t>PADIS 2 - U2C3O1V2 - Roteiro de vídeo.mp4</t>
  </si>
  <si>
    <t>U2C3O1P1</t>
  </si>
  <si>
    <t>Padis-U2C3O1P1</t>
  </si>
  <si>
    <t>Padis - U2C3O1P1 - Plano de aula.pdf</t>
  </si>
  <si>
    <t>U2C3O1S1</t>
  </si>
  <si>
    <t>Padis-U2C3O1S1</t>
  </si>
  <si>
    <t>Padis - U2C3O1S1 - Slide.pdf</t>
  </si>
  <si>
    <t>U2C3O1E1</t>
  </si>
  <si>
    <t>Padis-U2C3O1E1</t>
  </si>
  <si>
    <t>PADIS 2 - U2C3O1E1 - Ebook.pdf</t>
  </si>
  <si>
    <t>U2C3O1Q1</t>
  </si>
  <si>
    <t>Padis-U2C3O1Q1</t>
  </si>
  <si>
    <t>Padis - U2C3O1Q1 - Quiz.pdf</t>
  </si>
  <si>
    <t>U2C3O3V1</t>
  </si>
  <si>
    <t>Vídeo</t>
  </si>
  <si>
    <t>PADIS 2 - U2C3O3V1 - Roteiro de vídeo.mp4</t>
  </si>
  <si>
    <t>U2C3O1T1</t>
  </si>
  <si>
    <t>Padis-U2C3O1T1</t>
  </si>
  <si>
    <t>Padis - U2C3O1T1 - Tarefa.pdf</t>
  </si>
  <si>
    <t>U3C1O1V1</t>
  </si>
  <si>
    <t>Padis-U3C1O1V1</t>
  </si>
  <si>
    <t>joaofonseca88@gmail.com</t>
  </si>
  <si>
    <t>Padis 2 - U3C1O1V1 - Roteiro De Vídeo.mp4</t>
  </si>
  <si>
    <t>U3C1O1V2</t>
  </si>
  <si>
    <t>Padis-U3C1O1V2</t>
  </si>
  <si>
    <t>Padis 2 - U3C1O1V2 - Roteiro de vídeo.mp4</t>
  </si>
  <si>
    <t>U3C1O1V3</t>
  </si>
  <si>
    <t>Padis-U3C1O1V3</t>
  </si>
  <si>
    <t>Padis 2 - U3C1O1V3 - Roteiro de vídeo.mp4</t>
  </si>
  <si>
    <t>U3C1O1V4</t>
  </si>
  <si>
    <t>Padis-U3C1O1V4</t>
  </si>
  <si>
    <t>Padis 2 - U3C1O1V4 - Roteiro de vídeo.mp4</t>
  </si>
  <si>
    <t>U3C1O1V5</t>
  </si>
  <si>
    <t>Padis-U3C1O1V5</t>
  </si>
  <si>
    <t>PADIS 2 - U3C1O1V5 - Roteiro de vídeo.mp4</t>
  </si>
  <si>
    <t>U3C1O1V6</t>
  </si>
  <si>
    <t>Padis-U3C1O1V6</t>
  </si>
  <si>
    <t>Padis 2 - U3C1O1V6 - Roteiro de vídeo.mp4</t>
  </si>
  <si>
    <t>U3C1O1S1</t>
  </si>
  <si>
    <t>Padis-U3C1O1S1</t>
  </si>
  <si>
    <t>Padis - U3C1O1S1 - Slide.pdf</t>
  </si>
  <si>
    <t>U3C1O1S2</t>
  </si>
  <si>
    <t>Padis-U3C1O1S2</t>
  </si>
  <si>
    <t>Padis - U3C1O1S2 - Slide.pdf</t>
  </si>
  <si>
    <t>U3C1O1S3</t>
  </si>
  <si>
    <t>Padis-U3C1O1S3</t>
  </si>
  <si>
    <t>Padis - U3C1O1S3 - Slide.pdf</t>
  </si>
  <si>
    <t>U3C1O1S4</t>
  </si>
  <si>
    <t>Padis-U3C1O1S4</t>
  </si>
  <si>
    <t>Padis - U3C1O1S4 - Slide.pdf</t>
  </si>
  <si>
    <t>U3C1O1S5</t>
  </si>
  <si>
    <t>Padis-U3C1O1S5</t>
  </si>
  <si>
    <t>Padis - U3C1O1S5 - Slide.pdf</t>
  </si>
  <si>
    <t>U3C1O1S6</t>
  </si>
  <si>
    <t>Padis-U3C1O1S6</t>
  </si>
  <si>
    <t>Padis - U3C1O1S6 - Slide.pdf</t>
  </si>
  <si>
    <t>U3C1O1Q1</t>
  </si>
  <si>
    <t>Padis-U3C1O1Q1</t>
  </si>
  <si>
    <t>Padis - U3C1O1Q1 - Quiz.pdf</t>
  </si>
  <si>
    <t>U3C1O1P1</t>
  </si>
  <si>
    <t>Padis-U3C1O1P1</t>
  </si>
  <si>
    <t>Padis - U3C1O1P1 - Plano de Aula.pdf</t>
  </si>
  <si>
    <t>U3C1O3V1</t>
  </si>
  <si>
    <t>Padis 2 - U3C1O3V1 - Roteiro de vídeo.mp4</t>
  </si>
  <si>
    <t>U3C1O1E1</t>
  </si>
  <si>
    <t>Padis-U3C1O1E1</t>
  </si>
  <si>
    <t>Padis - U3C1O1E1 - Ebook.pdf</t>
  </si>
  <si>
    <t>U3C2O1V1</t>
  </si>
  <si>
    <t>Padis-U3C2O1V1</t>
  </si>
  <si>
    <r>
      <rPr>
        <color rgb="FF1155CC"/>
        <u/>
      </rPr>
      <t>PADIS 2 - U3C201V1  - Roteiro de Vídeo.mp</t>
    </r>
    <r>
      <rPr/>
      <t>4</t>
    </r>
  </si>
  <si>
    <t>U3C2O1V2</t>
  </si>
  <si>
    <t>Padis-U3C2O1V2</t>
  </si>
  <si>
    <t xml:space="preserve"> PADIS 2 - U3C201V2  - Roteiro de Vídeo.mp4</t>
  </si>
  <si>
    <t>U3C2O1V3</t>
  </si>
  <si>
    <t>Padis-U3C2O1V3</t>
  </si>
  <si>
    <t xml:space="preserve"> PADIS 2 - U3C2O1V3 - Roteiro de vídeo.mp4</t>
  </si>
  <si>
    <t>U3C2O1V4</t>
  </si>
  <si>
    <t>Padis-U3C2O1V4</t>
  </si>
  <si>
    <r>
      <rPr>
        <color rgb="FF1155CC"/>
        <u/>
      </rPr>
      <t>PADIS 2 - U3C2O1V4 -  Roteiro de vídeo.mp</t>
    </r>
    <r>
      <rPr/>
      <t>4</t>
    </r>
  </si>
  <si>
    <t>U3C2O1V5</t>
  </si>
  <si>
    <t>Padis-U3C2O1V5</t>
  </si>
  <si>
    <t xml:space="preserve"> PADIS 2 - U3C2O1V5 - Roteiro de vídeo.mp4</t>
  </si>
  <si>
    <t>U3C2O1S1</t>
  </si>
  <si>
    <t>Padis-U3C2O1S1</t>
  </si>
  <si>
    <t>Padis - U3C2O1S1 - Slide.pdf</t>
  </si>
  <si>
    <t>U3C2O1S2</t>
  </si>
  <si>
    <t>Padis-U3C2O1S2</t>
  </si>
  <si>
    <t>Padis - U3C2O1S2 - Slide.pdf</t>
  </si>
  <si>
    <t>U3C2O1S3</t>
  </si>
  <si>
    <t>Padis-U3C2O1S3</t>
  </si>
  <si>
    <t>Padis - U3C2O1S3 - Slide.pdf</t>
  </si>
  <si>
    <t>U3C2O1S4</t>
  </si>
  <si>
    <t>Padis-U3C2O1S4</t>
  </si>
  <si>
    <t>Padis - U3C2O1S4 - Slide.pdf</t>
  </si>
  <si>
    <t>U3C2O1S5</t>
  </si>
  <si>
    <t>Padis-U3C2O1S5</t>
  </si>
  <si>
    <t>Padis - U3C2O1S5 - Slide.pdf</t>
  </si>
  <si>
    <t>U3C2O1Q1</t>
  </si>
  <si>
    <t>Padis-U3C2O1Q1</t>
  </si>
  <si>
    <t>Padis - U3C2O1Q1 - Quiz.pdf</t>
  </si>
  <si>
    <t>U3C2O1P1</t>
  </si>
  <si>
    <t>Padis-U3C2O1P1</t>
  </si>
  <si>
    <t>Padis - U3C2O1P1 - Plano de Aula.pdf</t>
  </si>
  <si>
    <t>U3C2O3V1</t>
  </si>
  <si>
    <t>PADIS 2 - U3C203V1 - Vídeo.mp4</t>
  </si>
  <si>
    <t>U3C2O1E1</t>
  </si>
  <si>
    <t>Padis-U3C2O1E1</t>
  </si>
  <si>
    <t>Padis - U3C2O1E1 - Ebook.pdf</t>
  </si>
  <si>
    <t>U3C3O1V1</t>
  </si>
  <si>
    <t>Padis-U3C3O1V1</t>
  </si>
  <si>
    <t>PADIS 2 - U3C301V1 - Roteiro de vídeo.mp4</t>
  </si>
  <si>
    <t>U3C3O1V2</t>
  </si>
  <si>
    <t>Padis-U3C3O1V2</t>
  </si>
  <si>
    <t xml:space="preserve"> PADIS 2- U3C301V2 - Roteiro de vídeo.mp4</t>
  </si>
  <si>
    <t>U3C3O1V3</t>
  </si>
  <si>
    <t>Padis-U3C3O1V3</t>
  </si>
  <si>
    <t xml:space="preserve"> PADIS 2 - U3C301V3 - Roteiro de vídeo.mp4</t>
  </si>
  <si>
    <t>U3C3O1S1</t>
  </si>
  <si>
    <t>Padis-U3C3O1S1</t>
  </si>
  <si>
    <t>PADIS 2 - U3C3O1S1 - Slide.pdf</t>
  </si>
  <si>
    <t>U3C3O1S2</t>
  </si>
  <si>
    <t>Padis-U3C3O1S2</t>
  </si>
  <si>
    <t>Padis - U3C3O1S2 - Slide.pdf</t>
  </si>
  <si>
    <t>U3C3O1S3</t>
  </si>
  <si>
    <t>Padis-U3C3O1S3</t>
  </si>
  <si>
    <t>Padis - U3C3O1S3 - Slide.pdf</t>
  </si>
  <si>
    <t>U3C3O1Q1</t>
  </si>
  <si>
    <t>Padis-U3C3O1Q1</t>
  </si>
  <si>
    <t>Padis - U3C3O1Q1 - Quiz.pdf</t>
  </si>
  <si>
    <t>U3C3O1P1</t>
  </si>
  <si>
    <t>Padis-U3C3O1P1</t>
  </si>
  <si>
    <t>Padis - U3C3O1P1 - Plano de Aula.pdf</t>
  </si>
  <si>
    <t>U3C3O3V1</t>
  </si>
  <si>
    <t>PADIS 2 - U3C303V1 - Roteiro de vídeo.mp4</t>
  </si>
  <si>
    <t>U3C3O3T1</t>
  </si>
  <si>
    <t>Padis-U3C3O3T1</t>
  </si>
  <si>
    <t>Em Andamento</t>
  </si>
  <si>
    <t>Padis - U3C3O3T1 - Tarefa.pdf</t>
  </si>
  <si>
    <t>U3C3O1E1</t>
  </si>
  <si>
    <t>Padis-U3C3O1E1</t>
  </si>
  <si>
    <t>Padis - U3C3O1E1 - Ebook.pdf</t>
  </si>
  <si>
    <t>U4C1O1V1</t>
  </si>
  <si>
    <t>Padis-U4C1O1V1</t>
  </si>
  <si>
    <t>PADIS 2 - U4C1O1V1 - Roteiro de vídeo.mp4</t>
  </si>
  <si>
    <t>U4C1O1V2</t>
  </si>
  <si>
    <t>Padis-U4C1O1V2</t>
  </si>
  <si>
    <t>PADIS 2 - U4C1O1V2 - Roteiro de vídeo.mp4</t>
  </si>
  <si>
    <t>U4C1O1V3</t>
  </si>
  <si>
    <t>Padis-U4C1O1V3</t>
  </si>
  <si>
    <t>PADIS 2 - U4C1O1V3 - Roteiro de vídeo.mp4</t>
  </si>
  <si>
    <t>U4C1O1S1</t>
  </si>
  <si>
    <t>Padis-U4C1O1S1</t>
  </si>
  <si>
    <t>Padis - U4C1O1S1 - Slide.pdf</t>
  </si>
  <si>
    <t>U4C1O1S2</t>
  </si>
  <si>
    <t>Padis-U4C1O1S2</t>
  </si>
  <si>
    <t>Padis - U4C1O1S2 - Slide.pdf</t>
  </si>
  <si>
    <t>U4C1O1Q1</t>
  </si>
  <si>
    <t>Padis-U4C1O1Q1</t>
  </si>
  <si>
    <t>Padis - U4C1O1Q1 - Quiz.pdf</t>
  </si>
  <si>
    <t>U4C1O1P1</t>
  </si>
  <si>
    <t>Padis-U4C1O1P1</t>
  </si>
  <si>
    <t>Padis - U4C1O1P1 - Plano de Aula.pdf</t>
  </si>
  <si>
    <t>U4C1O3V1</t>
  </si>
  <si>
    <t>PADIS 2 - U4C1O3V1 - Roteiro de vídeo.mp4</t>
  </si>
  <si>
    <t>U4C1O1E1</t>
  </si>
  <si>
    <t>Padis-U4C1O1E1</t>
  </si>
  <si>
    <t>Padis - U4C1O1E1 - Ebook.pdf</t>
  </si>
  <si>
    <t>U4C2O1V1</t>
  </si>
  <si>
    <t>Padis-U4C2O1V1</t>
  </si>
  <si>
    <t>PADIS 2 - U4C2O1V1 - Roteiro de vídeo.mp4</t>
  </si>
  <si>
    <t>U4C2O1V2</t>
  </si>
  <si>
    <t>Padis-U4C2O1V2</t>
  </si>
  <si>
    <t>PADIS 2 - U4C2O1V2 - Roteiro de vídeo.mp4</t>
  </si>
  <si>
    <t>U4C2O1V3</t>
  </si>
  <si>
    <t>Padis-U4C2O1V3</t>
  </si>
  <si>
    <t>PADIS 2 - U4C2O1V3 - Roteiro de vídeo.mp4</t>
  </si>
  <si>
    <t>U4C2O1S1</t>
  </si>
  <si>
    <t>Padis-U4C2O1S1</t>
  </si>
  <si>
    <t>Padis - U4C2O1S1 - Slide.pdf</t>
  </si>
  <si>
    <t>U4C2O1S2</t>
  </si>
  <si>
    <t>Padis-U4C2O1S2</t>
  </si>
  <si>
    <t>Padis - U4C2O1S2 - Slide.pdf</t>
  </si>
  <si>
    <t>U4C2O1S3</t>
  </si>
  <si>
    <t>Padis-U4C2O1S3</t>
  </si>
  <si>
    <t>Padis - U4C2O1S3 - Slide.pdf</t>
  </si>
  <si>
    <t>U4C2O1Q1</t>
  </si>
  <si>
    <t>Padis-U4C2O1Q1</t>
  </si>
  <si>
    <t>Padis - U4C2O1Q1 - Quiz.pdf</t>
  </si>
  <si>
    <t>U4C2O1P1</t>
  </si>
  <si>
    <t>Padis-U4C2O1P1</t>
  </si>
  <si>
    <t>Padis - U4C2O1P1 - Plano de aula.pdf</t>
  </si>
  <si>
    <t>U4C2O3V1</t>
  </si>
  <si>
    <t>PADIS 2 - U4C2O3V1 - Roteiro de vídeo.mp4</t>
  </si>
  <si>
    <t>U4C2O3E1</t>
  </si>
  <si>
    <t>Padis-U4C2O3E1</t>
  </si>
  <si>
    <t>Padis - U4C2O3E1 - Ebook.pdf</t>
  </si>
  <si>
    <t>U4C3O1V1</t>
  </si>
  <si>
    <t>Padis-U4C3O1V1</t>
  </si>
  <si>
    <t>PADIS 2 - U4C3O1V1 - Roteiro de vídeo.mp4</t>
  </si>
  <si>
    <t>U4C3O1V2</t>
  </si>
  <si>
    <t>Padis-U4C3O1V2</t>
  </si>
  <si>
    <t>PADIS 2 - U4C3O1V2 - Roteiro de vídeo.mp4</t>
  </si>
  <si>
    <t>U4C3O1V3</t>
  </si>
  <si>
    <t>Padis-U4C3O1V3</t>
  </si>
  <si>
    <t>PADIS 2 - U4C3O1V3 - Roteiro de vídeo.mp4</t>
  </si>
  <si>
    <t>U4C3O1S1</t>
  </si>
  <si>
    <t>Padis-U4C3O1S1</t>
  </si>
  <si>
    <t>Padis - U4C3O1S1 - Slide.pdf</t>
  </si>
  <si>
    <t>U4C3O1S2</t>
  </si>
  <si>
    <t>Padis-U4C3O1S2</t>
  </si>
  <si>
    <t>Padis - U4C3O1S2 - Slide.pdf</t>
  </si>
  <si>
    <t>U4C3O1S3</t>
  </si>
  <si>
    <t>Padis-U4C3O1S3</t>
  </si>
  <si>
    <t>Padis - U4C3O1S3 - Slide.pdf</t>
  </si>
  <si>
    <t>U4C3O1Q1</t>
  </si>
  <si>
    <t>Padis-U4C3O1Q1</t>
  </si>
  <si>
    <t>Padis - U4C3O1Q1 - Quiz.pdf</t>
  </si>
  <si>
    <t>U4C3O1P1</t>
  </si>
  <si>
    <t>Padis-U4C3O1P1</t>
  </si>
  <si>
    <t>Padis - U4C3O1P1 - Plano de aula.pdf</t>
  </si>
  <si>
    <t>U4C3O3V1</t>
  </si>
  <si>
    <t xml:space="preserve">  PADIS 2- U4C3O3V1 - Vídeo.mp4</t>
  </si>
  <si>
    <t>U4C3O1E1</t>
  </si>
  <si>
    <t>Padis-U4C3O1E1</t>
  </si>
  <si>
    <t>Padis 2 - U4C3O1E1 - Ebook.pdf</t>
  </si>
  <si>
    <t>U4C4O1V1</t>
  </si>
  <si>
    <t>Padis-U4C4O1V1</t>
  </si>
  <si>
    <t>PADIS 2 - U4C4O1V1 - Roteiro de vídeo.mp4</t>
  </si>
  <si>
    <t>U4C4O1V2</t>
  </si>
  <si>
    <t>Padis-U4C4O1V2</t>
  </si>
  <si>
    <t>PADIS 2 - U4C4O1V2 - Roteiro de vídeo.mp4</t>
  </si>
  <si>
    <t>U4C4O1S1</t>
  </si>
  <si>
    <t>Padis-U4C4O1S1</t>
  </si>
  <si>
    <t>Padis - U4C4O1S1 - Slide.pdf</t>
  </si>
  <si>
    <t>U4C4O1S2</t>
  </si>
  <si>
    <t>Padis-U4C4O1S2</t>
  </si>
  <si>
    <t>Padis - U4C4O1S2 - Slide.pdf</t>
  </si>
  <si>
    <t>U4C4O1Q1</t>
  </si>
  <si>
    <t>Padis-U4C4O1Q1</t>
  </si>
  <si>
    <t>U4C4O1P1</t>
  </si>
  <si>
    <t>Padis-U4C4O1P1</t>
  </si>
  <si>
    <t>Padis - U4C4O1P1 - Plano de aula.pdf</t>
  </si>
  <si>
    <t>U4C4O3V1</t>
  </si>
  <si>
    <t xml:space="preserve"> PADIS 2 - U4C4O3V1 - Vídeo.mp4</t>
  </si>
  <si>
    <t>U4C4O3T1</t>
  </si>
  <si>
    <t>Padis-U4C4O3T1</t>
  </si>
  <si>
    <t>Padis - U4C4O3T1 - Tarefa.pdf</t>
  </si>
  <si>
    <t>U4C4O1E1</t>
  </si>
  <si>
    <t>Padis-U4C4O1E1</t>
  </si>
  <si>
    <t>Padis - U4C4O1E1 - Ebook.pdf</t>
  </si>
  <si>
    <t>U5C1O1V1</t>
  </si>
  <si>
    <t>Padis-U5C1O1V1</t>
  </si>
  <si>
    <t>Roberta Macedo</t>
  </si>
  <si>
    <t>U5C1O1V2</t>
  </si>
  <si>
    <t>Padis-U5C1O1V2</t>
  </si>
  <si>
    <t>U5C1O1V3</t>
  </si>
  <si>
    <t>Padis-U5C1O1V3</t>
  </si>
  <si>
    <t>U5C1O1S1</t>
  </si>
  <si>
    <t>Padis-U5C1O1S1</t>
  </si>
  <si>
    <t>PADIS 2 - U5C1O1S1 - Slide.pdf</t>
  </si>
  <si>
    <t>U5C1O1S2</t>
  </si>
  <si>
    <t>Padis-U5C1O1S2</t>
  </si>
  <si>
    <t>Padis 2 - U5C1O1S2 - Slide.pdf</t>
  </si>
  <si>
    <t>U5C1O1S3</t>
  </si>
  <si>
    <t>Padis-U5C1O1S3</t>
  </si>
  <si>
    <t>PADIS 2 - U5C1O1S3 - Slide.pdf</t>
  </si>
  <si>
    <t>Aguardando Correção</t>
  </si>
  <si>
    <t>U5C1O1Q1</t>
  </si>
  <si>
    <t>Padis-U5C1O1Q1</t>
  </si>
  <si>
    <t>U5C1O1P1</t>
  </si>
  <si>
    <t>Padis-U5C1O1P1</t>
  </si>
  <si>
    <t>U5C2O1V1</t>
  </si>
  <si>
    <t>Padis-U5C2O1V1</t>
  </si>
  <si>
    <t>U5C2O1V2</t>
  </si>
  <si>
    <t>Padis-U5C2O1V2</t>
  </si>
  <si>
    <t>U5C2O1V3</t>
  </si>
  <si>
    <t>Padis-U5C2O1V3</t>
  </si>
  <si>
    <t>U5C2O1S1</t>
  </si>
  <si>
    <t>Padis-U5C2O1S1</t>
  </si>
  <si>
    <t>PADIS 2 - U5C2O1S1 - Slide.pdf</t>
  </si>
  <si>
    <t>U5C2O1S2</t>
  </si>
  <si>
    <t>Padis-U5C2O1S2</t>
  </si>
  <si>
    <t>PADIS 2 - U5C2O1S2 - Slide.pdf</t>
  </si>
  <si>
    <t>U5C2O1S3</t>
  </si>
  <si>
    <t>Padis-U5C2O1S3</t>
  </si>
  <si>
    <t>PADIS 2 - U5C2O1S3 - Slide.pdf</t>
  </si>
  <si>
    <t>U5C2O1Q1</t>
  </si>
  <si>
    <t>Padis-U5C2O1Q1</t>
  </si>
  <si>
    <t>U5C2O1P1</t>
  </si>
  <si>
    <t>Padis-U5C2O1P1</t>
  </si>
  <si>
    <t>U5C2O3V1</t>
  </si>
  <si>
    <t>U5C2O3T1</t>
  </si>
  <si>
    <t>Padis-U5C2O3T1</t>
  </si>
  <si>
    <t>U5C2O1E1</t>
  </si>
  <si>
    <t>Padis-U5C2O1E1</t>
  </si>
  <si>
    <t>PADIS 2 - U5C2O1E1 - Ebook.pdf</t>
  </si>
  <si>
    <t>U6C1O1V1</t>
  </si>
  <si>
    <t>Padis-U6C1O1V1</t>
  </si>
  <si>
    <t>U6C1O1V2</t>
  </si>
  <si>
    <t>Padis-U6C1O1V2</t>
  </si>
  <si>
    <t>U6C1O1S1</t>
  </si>
  <si>
    <t>Padis-U6C1O1S1</t>
  </si>
  <si>
    <t>PADIS 2 - U6C1O1S1 - Slide.pdf</t>
  </si>
  <si>
    <t>U6C1O1S2</t>
  </si>
  <si>
    <t>Padis-U6C1O1S2</t>
  </si>
  <si>
    <t>PADIS 2 - U6C1O1S2 - Slide.pdf</t>
  </si>
  <si>
    <t>U6C1O1Q1</t>
  </si>
  <si>
    <t>Padis-U6C1O1Q1</t>
  </si>
  <si>
    <t>U6C1O1P1</t>
  </si>
  <si>
    <t>Padis-U6C1O1P1</t>
  </si>
  <si>
    <t>U6C1O3V1</t>
  </si>
  <si>
    <t>U6C1O1E1</t>
  </si>
  <si>
    <t>Padis-U6C1O1E1</t>
  </si>
  <si>
    <t>PADIS 2 - U6C1O1E1 - Ebook.pdf</t>
  </si>
  <si>
    <t>U6C2O1V1</t>
  </si>
  <si>
    <t>Padis-U6C2O1V1</t>
  </si>
  <si>
    <t>U6C2O1V2</t>
  </si>
  <si>
    <t>Padis-U6C2O1V2</t>
  </si>
  <si>
    <t>U6C2O1S1</t>
  </si>
  <si>
    <t>Padis-U6C2O1S1</t>
  </si>
  <si>
    <t>PADIS 2 - U6C2O1S1 - Slide.pdf</t>
  </si>
  <si>
    <t>U6C2O1S2</t>
  </si>
  <si>
    <t>Padis-U6C2O1S2</t>
  </si>
  <si>
    <t>PADIS 2 - U6C2O1S2 - Slide.pdf</t>
  </si>
  <si>
    <t>U6C2O1Q1</t>
  </si>
  <si>
    <t>Padis-U6C2O1Q1</t>
  </si>
  <si>
    <t>U6C2O1P1</t>
  </si>
  <si>
    <t>Padis-U6C2O1P1</t>
  </si>
  <si>
    <t>U6C2O3V1</t>
  </si>
  <si>
    <t>U6C2O1E1</t>
  </si>
  <si>
    <t>Padis-U6C2O1E1</t>
  </si>
  <si>
    <t>U6C3O1V1</t>
  </si>
  <si>
    <t>Padis-U6C3O1V1</t>
  </si>
  <si>
    <t>U6C3O1S1</t>
  </si>
  <si>
    <t>Padis-U6C3O1S1</t>
  </si>
  <si>
    <t>PADIS 2 - U6C3O1S1 - Slide.pdf</t>
  </si>
  <si>
    <t>U6C3O1Q1</t>
  </si>
  <si>
    <t>Padis-U6C3O1Q1</t>
  </si>
  <si>
    <t>U6C3O1P1</t>
  </si>
  <si>
    <t>Padis-U6C3O1P1</t>
  </si>
  <si>
    <t>U6C3O3V1</t>
  </si>
  <si>
    <t>U6C3O3T1</t>
  </si>
  <si>
    <t>Padis-U6C3O3T1</t>
  </si>
  <si>
    <t>U6C3O1E1</t>
  </si>
  <si>
    <t>Padis-U6C3O1E1</t>
  </si>
  <si>
    <t>U7C1O1V1</t>
  </si>
  <si>
    <t>Padis-U7C1O1V1</t>
  </si>
  <si>
    <t>U7C1O1V2</t>
  </si>
  <si>
    <t>Padis-U7C1O1V2</t>
  </si>
  <si>
    <t>U7C1O1V3</t>
  </si>
  <si>
    <t>Padis-U7C1O1V3</t>
  </si>
  <si>
    <t>U7C1O1V4</t>
  </si>
  <si>
    <t>Padis-U7C1O1V4</t>
  </si>
  <si>
    <t>U7C1O1S1</t>
  </si>
  <si>
    <t>Padis-U7C1O1S1</t>
  </si>
  <si>
    <t>PADIS 2 - U7C1O1S1 - Slide.pdf</t>
  </si>
  <si>
    <t>U7C1O1S2</t>
  </si>
  <si>
    <t>Padis-U7C1O1S2</t>
  </si>
  <si>
    <t>PADIS 2 - U7C1O1S2 - Slide.pdf</t>
  </si>
  <si>
    <t>U7C1O1S3</t>
  </si>
  <si>
    <t>Padis-U7C1O1S3</t>
  </si>
  <si>
    <t>PADIS 2 - U7C1O1S3 - Slide.pdf</t>
  </si>
  <si>
    <t>U7C1O1S4</t>
  </si>
  <si>
    <t>Padis-U7C1O1S4</t>
  </si>
  <si>
    <t>PADIS 2 - U7C1O1S4 - Slide.pdf</t>
  </si>
  <si>
    <t>U7C1O1Q1</t>
  </si>
  <si>
    <t>Padis-U7C1O1Q1</t>
  </si>
  <si>
    <t>U7C1O1P1</t>
  </si>
  <si>
    <t>Padis-U7C1O1P1</t>
  </si>
  <si>
    <t>U7C1O3V1</t>
  </si>
  <si>
    <t>U7C1O1E1</t>
  </si>
  <si>
    <t>Padis-U7C1O1E1</t>
  </si>
  <si>
    <t>U7C2O1V1</t>
  </si>
  <si>
    <t>Padis-U7C2O1V1</t>
  </si>
  <si>
    <t>U7C2O1V2</t>
  </si>
  <si>
    <t>Padis-U7C2O1V2</t>
  </si>
  <si>
    <t>U7C2O1V3</t>
  </si>
  <si>
    <t>Padis-U7C2O1V3</t>
  </si>
  <si>
    <t>U7C2O1S1</t>
  </si>
  <si>
    <t>Padis-U7C2O1S1</t>
  </si>
  <si>
    <t>PADIS 2 - U7C2O1S1 - Slide.pdf</t>
  </si>
  <si>
    <t>U7C2O1S2</t>
  </si>
  <si>
    <t>Padis-U7C2O1S2</t>
  </si>
  <si>
    <t>PADIS 2 - U7C2O1S2 - Slide.pdf</t>
  </si>
  <si>
    <t>U7C2O1S3</t>
  </si>
  <si>
    <t>Padis-U7C2O1S3</t>
  </si>
  <si>
    <t>PADIS 2 - U7C2O1S3 - Slide.pdf</t>
  </si>
  <si>
    <t>U7C2O1Q1</t>
  </si>
  <si>
    <t>Padis-U7C2O1Q1</t>
  </si>
  <si>
    <t>U7C2O1P1</t>
  </si>
  <si>
    <t>Padis-U7C2O1P1</t>
  </si>
  <si>
    <t>U7C2O3V1</t>
  </si>
  <si>
    <t>U7C2O3E1</t>
  </si>
  <si>
    <t>Padis-U7C2O3E1</t>
  </si>
  <si>
    <t>U7C3O1V1</t>
  </si>
  <si>
    <t>Padis-U7C3O1V1</t>
  </si>
  <si>
    <t>U7C3O1V2</t>
  </si>
  <si>
    <t>Padis-U7C3O1V2</t>
  </si>
  <si>
    <t>U7C3O1V3</t>
  </si>
  <si>
    <t>Padis-U7C3O1V3</t>
  </si>
  <si>
    <t>U7C3O1S1</t>
  </si>
  <si>
    <t>Padis-U7C3O1S1</t>
  </si>
  <si>
    <t>PADIS 2 - U7C3O1S1 - Slide.pdf</t>
  </si>
  <si>
    <t>U7C3O1S2</t>
  </si>
  <si>
    <t>Padis-U7C3O1S2</t>
  </si>
  <si>
    <t>PADIS 2 - U7C3O1S2 - Slide.pdf</t>
  </si>
  <si>
    <t>U7C3O1S3</t>
  </si>
  <si>
    <t>Padis-U7C3O1S3</t>
  </si>
  <si>
    <t>U7C3O1Q1</t>
  </si>
  <si>
    <t>Padis-U7C3O1Q1</t>
  </si>
  <si>
    <t>U7C3O1P1</t>
  </si>
  <si>
    <t>Padis-U7C3O1P1</t>
  </si>
  <si>
    <t>U7C3O3V1</t>
  </si>
  <si>
    <t>U7C3O1E1</t>
  </si>
  <si>
    <t>Padis-U7C3O1E1</t>
  </si>
  <si>
    <t>U7C4O1V1</t>
  </si>
  <si>
    <t>Padis-U7C4O1V1</t>
  </si>
  <si>
    <t>U7C4O1V2</t>
  </si>
  <si>
    <t>Padis-U7C4O1V2</t>
  </si>
  <si>
    <t>U7C4O1V3</t>
  </si>
  <si>
    <t>Padis-U7C4O1V3</t>
  </si>
  <si>
    <t>U7C4O1S1</t>
  </si>
  <si>
    <t>Padis-U7C4O1S1</t>
  </si>
  <si>
    <t>U7C4O1S2</t>
  </si>
  <si>
    <t>Padis-U7C4O1S2</t>
  </si>
  <si>
    <t>U7C4O1S3</t>
  </si>
  <si>
    <t>Padis-U7C4O1S3</t>
  </si>
  <si>
    <t>U7C4O1Q1</t>
  </si>
  <si>
    <t>Padis-U7C4O1Q1</t>
  </si>
  <si>
    <t>U7C4O1P1</t>
  </si>
  <si>
    <t>Padis-U7C4O1P1</t>
  </si>
  <si>
    <t>U7C4O3T1</t>
  </si>
  <si>
    <t>Padis-U7C4O3T1</t>
  </si>
  <si>
    <t>U7C4O1E1</t>
  </si>
  <si>
    <t>Padis-U7C4O1E1</t>
  </si>
  <si>
    <t>U8C1O1V1</t>
  </si>
  <si>
    <t>Padis-U8C1O1V1</t>
  </si>
  <si>
    <t>U8C1O1V2</t>
  </si>
  <si>
    <t>Padis-U8C1O1V2</t>
  </si>
  <si>
    <t>U8C1O1V3</t>
  </si>
  <si>
    <t>Padis-U8C1O1V3</t>
  </si>
  <si>
    <t>U8C1O1V4</t>
  </si>
  <si>
    <t>Padis-U8C1O1V4</t>
  </si>
  <si>
    <t>U8C1O1V5</t>
  </si>
  <si>
    <t>Padis-U8C1O1V5</t>
  </si>
  <si>
    <t>U8C1O1V6</t>
  </si>
  <si>
    <t>Padis-U8C1O1V6</t>
  </si>
  <si>
    <t>U8C1O1S1</t>
  </si>
  <si>
    <t>Padis-U8C1O1S1</t>
  </si>
  <si>
    <t>U8C1O1S2</t>
  </si>
  <si>
    <t>Padis-U8C1O1S2</t>
  </si>
  <si>
    <t>U8C1O1S3</t>
  </si>
  <si>
    <t>Padis-U8C1O1S3</t>
  </si>
  <si>
    <t>U8C1O1S4</t>
  </si>
  <si>
    <t>Padis-U8C1O1S4</t>
  </si>
  <si>
    <t>U8C1O1S5</t>
  </si>
  <si>
    <t>Padis-U8C1O1S5</t>
  </si>
  <si>
    <t>U8C1O1S6</t>
  </si>
  <si>
    <t>Padis-U8C1O1S6</t>
  </si>
  <si>
    <t>U8C1O1Q1</t>
  </si>
  <si>
    <t>Padis-U8C1O1Q1</t>
  </si>
  <si>
    <t>U8C1O1P1</t>
  </si>
  <si>
    <t>Padis-U8C1O1P1</t>
  </si>
  <si>
    <t>U8C1O1E1</t>
  </si>
  <si>
    <t>Padis-U8C1O1E1</t>
  </si>
  <si>
    <t>U8C2O1V1</t>
  </si>
  <si>
    <t>Padis-U8C2O1V1</t>
  </si>
  <si>
    <t>U8C2O1V2</t>
  </si>
  <si>
    <t>Padis-U8C2O1V2</t>
  </si>
  <si>
    <t>U8C2O1V3</t>
  </si>
  <si>
    <t>Padis-U8C2O1V3</t>
  </si>
  <si>
    <t>U8C2O1S1</t>
  </si>
  <si>
    <t>Padis-U8C2O1S1</t>
  </si>
  <si>
    <t>U8C2O1S2</t>
  </si>
  <si>
    <t>Padis-U8C2O1S2</t>
  </si>
  <si>
    <t>U8C2O1S3</t>
  </si>
  <si>
    <t>Padis-U8C2O1S3</t>
  </si>
  <si>
    <t>U8C2O1Q1</t>
  </si>
  <si>
    <t>Padis-U8C2O1Q1</t>
  </si>
  <si>
    <t>U8C2O1P1</t>
  </si>
  <si>
    <t>Padis-U8C2O1P1</t>
  </si>
  <si>
    <t>U8C3O1V1</t>
  </si>
  <si>
    <t>Padis-U8C3O1V1</t>
  </si>
  <si>
    <t>U8C3O1V2</t>
  </si>
  <si>
    <t>Padis-U8C3O1V2</t>
  </si>
  <si>
    <t>U8C3O1V3</t>
  </si>
  <si>
    <t>Padis-U8C3O1V3</t>
  </si>
  <si>
    <t>U8C3O1V4</t>
  </si>
  <si>
    <t>Padis-U8C3O1V4</t>
  </si>
  <si>
    <t>U8C3O1V5</t>
  </si>
  <si>
    <t>Padis-U8C3O1V5</t>
  </si>
  <si>
    <t>U8C3O1S1</t>
  </si>
  <si>
    <t>Padis-U8C3O1S1</t>
  </si>
  <si>
    <t>U8C3O1S2</t>
  </si>
  <si>
    <t>Padis-U8C3O1S2</t>
  </si>
  <si>
    <t>U8C3O1S3</t>
  </si>
  <si>
    <t>Padis-U8C3O1S3</t>
  </si>
  <si>
    <t>U8C3O1S4</t>
  </si>
  <si>
    <t>Padis-U8C3O1S4</t>
  </si>
  <si>
    <t>U8C3O1S5</t>
  </si>
  <si>
    <t>Padis-U8C3O1S5</t>
  </si>
  <si>
    <t>U8C3O1Q1</t>
  </si>
  <si>
    <t>Padis-U8C3O1Q1</t>
  </si>
  <si>
    <t>U8C3O1P1</t>
  </si>
  <si>
    <t>Padis-U8C3O1P1</t>
  </si>
  <si>
    <t>U8C4O1V1</t>
  </si>
  <si>
    <t>Padis-U8C4O1V1</t>
  </si>
  <si>
    <t>U8C4O1V2</t>
  </si>
  <si>
    <t>Padis-U8C4O1V2</t>
  </si>
  <si>
    <t>U8C4O1V3</t>
  </si>
  <si>
    <t>Padis-U8C4O1V3</t>
  </si>
  <si>
    <t>U8C4O1V4</t>
  </si>
  <si>
    <t>Padis-U8C4O1V4</t>
  </si>
  <si>
    <t>U8C4O1V5</t>
  </si>
  <si>
    <t>Padis-U8C4O1V5</t>
  </si>
  <si>
    <t>U8C4O1S1</t>
  </si>
  <si>
    <t>Padis-U8C4O1S1</t>
  </si>
  <si>
    <t>U8C4O1S2</t>
  </si>
  <si>
    <t>Padis-U8C4O1S2</t>
  </si>
  <si>
    <t>U8C4O1S3</t>
  </si>
  <si>
    <t>Padis-U8C4O1S3</t>
  </si>
  <si>
    <t>U8C4O1S4</t>
  </si>
  <si>
    <t>Padis-U8C4O1S4</t>
  </si>
  <si>
    <t>U8C4O1S5</t>
  </si>
  <si>
    <t>Padis-U8C4O1S5</t>
  </si>
  <si>
    <t>U8C4O1Q1</t>
  </si>
  <si>
    <t>Padis-U8C4O1Q1</t>
  </si>
  <si>
    <t>U8C4O1P1</t>
  </si>
  <si>
    <t>Padis-U8C4O1P1</t>
  </si>
  <si>
    <t>U8C5O1V1</t>
  </si>
  <si>
    <t>Padis-U8C5O1V1</t>
  </si>
  <si>
    <t>U8C5O1V2</t>
  </si>
  <si>
    <t>Padis-U8C5O1V2</t>
  </si>
  <si>
    <t>U8C5O1V3</t>
  </si>
  <si>
    <t>Padis-U8C5O1V3</t>
  </si>
  <si>
    <t>U8C5O1V4</t>
  </si>
  <si>
    <t>Padis-U8C5O1V4</t>
  </si>
  <si>
    <t>U8C5O1S1</t>
  </si>
  <si>
    <t>Padis-U8C5O1S1</t>
  </si>
  <si>
    <t>U8C5O1S2</t>
  </si>
  <si>
    <t>Padis-U8C5O1S2</t>
  </si>
  <si>
    <t>U8C5O1S3</t>
  </si>
  <si>
    <t>Padis-U8C5O1S3</t>
  </si>
  <si>
    <t>U8C5O1S4</t>
  </si>
  <si>
    <t>Padis-U8C5O1S4</t>
  </si>
  <si>
    <t>U8C5O1Q1</t>
  </si>
  <si>
    <t>Padis-U8C5O1Q1</t>
  </si>
  <si>
    <t>U8C5O1P1</t>
  </si>
  <si>
    <t>Padis-U8C5O1P1</t>
  </si>
  <si>
    <t>U8C5O3V1</t>
  </si>
  <si>
    <t>U8C5O3T1</t>
  </si>
  <si>
    <t>Padis-U8C5O3T1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</si>
</sst>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1">
    <font>
      <sz val="10.0"/>
      <color rgb="FF000000"/>
      <name val="Arial"/>
      <scheme val="minor"/>
    </font>
    <font>
      <b/>
      <color rgb="FFF3F3F3"/>
      <name val="Arial"/>
      <scheme val="minor"/>
    </font>
    <font>
      <color rgb="FF434343"/>
      <name val="Roboto"/>
    </font>
    <font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color rgb="FFF3F3F3"/>
      <name val="Roboto"/>
    </font>
    <font>
      <b/>
      <color theme="1"/>
      <name val="Roboto"/>
    </font>
    <font>
      <u/>
      <color theme="1"/>
      <name val="Arial"/>
      <scheme val="minor"/>
    </font>
    <font>
      <color theme="1"/>
      <name val="Arial"/>
    </font>
    <font>
      <u/>
      <color rgb="FF434343"/>
      <name val="Roboto"/>
    </font>
    <font>
      <u/>
      <color theme="1"/>
      <name val="Arial"/>
    </font>
    <font>
      <b/>
      <color theme="1"/>
      <name val="Arial"/>
    </font>
    <font>
      <u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FFFFFF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F6F8F9"/>
      </top>
      <bottom style="thin">
        <color rgb="FFCCCCCC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3" fontId="2" numFmtId="0" xfId="0" applyAlignment="1" applyBorder="1" applyFill="1" applyFont="1">
      <alignment horizontal="center" shrinkToFit="0" vertical="center" wrapText="0"/>
    </xf>
    <xf borderId="3" fillId="3" fontId="2" numFmtId="49" xfId="0" applyAlignment="1" applyBorder="1" applyFont="1" applyNumberFormat="1">
      <alignment shrinkToFit="0" vertical="center" wrapText="0"/>
    </xf>
    <xf borderId="4" fillId="0" fontId="3" numFmtId="10" xfId="0" applyAlignment="1" applyBorder="1" applyFont="1" applyNumberFormat="1">
      <alignment shrinkToFit="0" vertical="center" wrapText="0"/>
    </xf>
    <xf borderId="4" fillId="0" fontId="3" numFmtId="9" xfId="0" applyAlignment="1" applyBorder="1" applyFont="1" applyNumberFormat="1">
      <alignment horizontal="center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3" numFmtId="164" xfId="0" applyAlignment="1" applyBorder="1" applyFont="1" applyNumberFormat="1">
      <alignment horizontal="center" readingOrder="0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5" fillId="0" fontId="6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6" fillId="4" fontId="2" numFmtId="0" xfId="0" applyAlignment="1" applyBorder="1" applyFill="1" applyFont="1">
      <alignment horizontal="center" shrinkToFit="0" vertical="center" wrapText="0"/>
    </xf>
    <xf borderId="6" fillId="4" fontId="2" numFmtId="49" xfId="0" applyAlignment="1" applyBorder="1" applyFont="1" applyNumberFormat="1">
      <alignment shrinkToFit="0" vertical="center" wrapText="0"/>
    </xf>
    <xf borderId="5" fillId="0" fontId="8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5" fillId="0" fontId="10" numFmtId="0" xfId="0" applyAlignment="1" applyBorder="1" applyFont="1">
      <alignment horizontal="center" readingOrder="0" shrinkToFit="0" vertical="center" wrapText="0"/>
    </xf>
    <xf borderId="5" fillId="4" fontId="2" numFmtId="49" xfId="0" applyAlignment="1" applyBorder="1" applyFont="1" applyNumberFormat="1">
      <alignment shrinkToFit="0" vertical="center" wrapText="0"/>
    </xf>
    <xf borderId="5" fillId="3" fontId="2" numFmtId="49" xfId="0" applyAlignment="1" applyBorder="1" applyFont="1" applyNumberFormat="1">
      <alignment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5" fillId="3" fontId="2" numFmtId="0" xfId="0" applyAlignment="1" applyBorder="1" applyFont="1">
      <alignment horizontal="center" shrinkToFit="0" vertical="center" wrapText="0"/>
    </xf>
    <xf borderId="5" fillId="4" fontId="2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5" fillId="3" fontId="2" numFmtId="0" xfId="0" applyAlignment="1" applyBorder="1" applyFont="1">
      <alignment horizontal="center" readingOrder="0" shrinkToFit="0" vertical="center" wrapText="0"/>
    </xf>
    <xf borderId="3" fillId="3" fontId="2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14" numFmtId="0" xfId="0" applyAlignment="1" applyBorder="1" applyFont="1">
      <alignment horizontal="center" readingOrder="0" shrinkToFit="0" vertical="center" wrapText="0"/>
    </xf>
    <xf borderId="6" fillId="4" fontId="2" numFmtId="0" xfId="0" applyAlignment="1" applyBorder="1" applyFont="1">
      <alignment horizontal="center" readingOrder="0" shrinkToFit="0" vertical="center" wrapText="0"/>
    </xf>
    <xf borderId="5" fillId="0" fontId="14" numFmtId="0" xfId="0" applyAlignment="1" applyBorder="1" applyFont="1">
      <alignment horizontal="center" readingOrder="0" shrinkToFit="0" vertical="center" wrapText="0"/>
    </xf>
    <xf borderId="6" fillId="4" fontId="2" numFmtId="49" xfId="0" applyAlignment="1" applyBorder="1" applyFont="1" applyNumberFormat="1">
      <alignment readingOrder="0" shrinkToFit="0" vertical="center" wrapText="0"/>
    </xf>
    <xf borderId="4" fillId="0" fontId="15" numFmtId="49" xfId="0" applyAlignment="1" applyBorder="1" applyFont="1" applyNumberForma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5" fillId="4" fontId="2" numFmtId="49" xfId="0" applyAlignment="1" applyBorder="1" applyFont="1" applyNumberFormat="1">
      <alignment readingOrder="0" shrinkToFit="0" vertical="center" wrapText="0"/>
    </xf>
    <xf borderId="5" fillId="4" fontId="2" numFmtId="0" xfId="0" applyAlignment="1" applyBorder="1" applyFont="1">
      <alignment horizontal="center" readingOrder="0" shrinkToFit="0" vertical="center" wrapText="0"/>
    </xf>
    <xf borderId="5" fillId="3" fontId="2" numFmtId="49" xfId="0" applyAlignment="1" applyBorder="1" applyFont="1" applyNumberFormat="1">
      <alignment readingOrder="0" shrinkToFit="0" vertical="center" wrapText="0"/>
    </xf>
    <xf borderId="6" fillId="3" fontId="2" numFmtId="0" xfId="0" applyAlignment="1" applyBorder="1" applyFont="1">
      <alignment horizontal="center" readingOrder="0" shrinkToFit="0" vertical="center" wrapText="0"/>
    </xf>
    <xf borderId="6" fillId="3" fontId="2" numFmtId="49" xfId="0" applyAlignment="1" applyBorder="1" applyFont="1" applyNumberFormat="1">
      <alignment shrinkToFit="0" vertical="center" wrapText="0"/>
    </xf>
    <xf borderId="3" fillId="3" fontId="16" numFmtId="10" xfId="0" applyAlignment="1" applyBorder="1" applyFont="1" applyNumberFormat="1">
      <alignment shrinkToFit="0" vertical="center" wrapText="0"/>
    </xf>
    <xf borderId="5" fillId="3" fontId="17" numFmtId="0" xfId="0" applyAlignment="1" applyBorder="1" applyFont="1">
      <alignment horizontal="center" readingOrder="0" shrinkToFit="0" vertical="center" wrapText="0"/>
    </xf>
    <xf borderId="3" fillId="3" fontId="18" numFmtId="49" xfId="0" applyAlignment="1" applyBorder="1" applyFont="1" applyNumberFormat="1">
      <alignment horizontal="center" readingOrder="0" shrinkToFit="0" vertical="center" wrapText="0"/>
    </xf>
    <xf borderId="5" fillId="3" fontId="19" numFmtId="0" xfId="0" applyAlignment="1" applyBorder="1" applyFont="1">
      <alignment horizontal="center" readingOrder="0" shrinkToFit="0" vertical="center" wrapText="0"/>
    </xf>
    <xf borderId="3" fillId="3" fontId="16" numFmtId="0" xfId="0" applyAlignment="1" applyBorder="1" applyFont="1">
      <alignment shrinkToFit="0" vertical="center" wrapText="0"/>
    </xf>
    <xf borderId="3" fillId="3" fontId="16" numFmtId="164" xfId="0" applyAlignment="1" applyBorder="1" applyFont="1" applyNumberFormat="1">
      <alignment shrinkToFit="0" vertical="center" wrapText="0"/>
    </xf>
    <xf borderId="5" fillId="3" fontId="16" numFmtId="0" xfId="0" applyAlignment="1" applyBorder="1" applyFont="1">
      <alignment readingOrder="0" shrinkToFit="0" vertical="center" wrapText="0"/>
    </xf>
    <xf borderId="5" fillId="3" fontId="16" numFmtId="0" xfId="0" applyAlignment="1" applyBorder="1" applyFont="1">
      <alignment shrinkToFit="0" vertical="center" wrapText="0"/>
    </xf>
    <xf borderId="5" fillId="3" fontId="14" numFmtId="0" xfId="0" applyAlignment="1" applyBorder="1" applyFont="1">
      <alignment horizontal="center" readingOrder="0" shrinkToFit="0" vertical="center" wrapText="0"/>
    </xf>
    <xf borderId="5" fillId="3" fontId="20" numFmtId="0" xfId="0" applyAlignment="1" applyBorder="1" applyFont="1">
      <alignment readingOrder="0"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5" fillId="4" fontId="2" numFmtId="0" xfId="0" applyAlignment="1" applyBorder="1" applyFont="1">
      <alignment horizontal="right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8">
    <tableStyle count="4" pivot="0" name="Unidad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8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ducacional 1" id="{d083a14f-a9a6-4a0a-9d39-f6e51e464434}" providerId="google-sheets"/>
</x18tc:personList>
</file>

<file path=xl/tables/table1.xml><?xml version="1.0" encoding="utf-8"?>
<table xmlns="http://schemas.openxmlformats.org/spreadsheetml/2006/main" ref="A1:AC20" displayName="PADIS" name="PADIS" id="1">
  <autoFilter ref="$A$1:$AC$20"/>
  <tableColumns count="29">
    <tableColumn name="Unidade 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Prof.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1-style" showColumnStripes="0" showFirstColumn="1" showLastColumn="1" showRowStripes="1"/>
</table>
</file>

<file path=xl/tables/table2.xml><?xml version="1.0" encoding="utf-8"?>
<table xmlns="http://schemas.openxmlformats.org/spreadsheetml/2006/main" ref="A1:AC19" displayName="PADIS_2" name="PADIS_2" id="2">
  <tableColumns count="29">
    <tableColumn name="Unidade 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Prof.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2-style" showColumnStripes="0" showFirstColumn="1" showLastColumn="1" showRowStripes="1"/>
</table>
</file>

<file path=xl/tables/table3.xml><?xml version="1.0" encoding="utf-8"?>
<table xmlns="http://schemas.openxmlformats.org/spreadsheetml/2006/main" ref="A1:AC42" displayName="PADIS_3" name="PADIS_3" id="3">
  <tableColumns count="29">
    <tableColumn name="Unidade 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Prof.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3-style" showColumnStripes="0" showFirstColumn="1" showLastColumn="1" showRowStripes="1"/>
</table>
</file>

<file path=xl/tables/table4.xml><?xml version="1.0" encoding="utf-8"?>
<table xmlns="http://schemas.openxmlformats.org/spreadsheetml/2006/main" ref="A1:AC39" displayName="PADIS_4" name="PADIS_4" id="4">
  <tableColumns count="29">
    <tableColumn name="Unidade 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Prof.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4-style" showColumnStripes="0" showFirstColumn="1" showLastColumn="1" showRowStripes="1"/>
</table>
</file>

<file path=xl/tables/table5.xml><?xml version="1.0" encoding="utf-8"?>
<table xmlns="http://schemas.openxmlformats.org/spreadsheetml/2006/main" ref="A1:AC20" displayName="PADIS_5" name="PADIS_5" id="5">
  <tableColumns count="29">
    <tableColumn name="Unidade 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Prof.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5-style" showColumnStripes="0" showFirstColumn="1" showLastColumn="1" showRowStripes="1"/>
</table>
</file>

<file path=xl/tables/table6.xml><?xml version="1.0" encoding="utf-8"?>
<table xmlns="http://schemas.openxmlformats.org/spreadsheetml/2006/main" ref="A1:AC24" displayName="PADIS_6" name="PADIS_6" id="6">
  <tableColumns count="29">
    <tableColumn name="Unidade 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Prof.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6-style" showColumnStripes="0" showFirstColumn="1" showLastColumn="1" showRowStripes="1"/>
</table>
</file>

<file path=xl/tables/table7.xml><?xml version="1.0" encoding="utf-8"?>
<table xmlns="http://schemas.openxmlformats.org/spreadsheetml/2006/main" ref="A1:AC43" displayName="PADIS_7" name="PADIS_7" id="7">
  <tableColumns count="29">
    <tableColumn name="Unidade 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Prof.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7-style" showColumnStripes="0" showFirstColumn="1" showLastColumn="1" showRowStripes="1"/>
</table>
</file>

<file path=xl/tables/table8.xml><?xml version="1.0" encoding="utf-8"?>
<table xmlns="http://schemas.openxmlformats.org/spreadsheetml/2006/main" ref="A1:AC60" displayName="PADIS_8" name="PADIS_8" id="8">
  <tableColumns count="29">
    <tableColumn name="Unidade 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Prof.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Z11" dT="2026-03-09T12:46:59.00" personId="{d083a14f-a9a6-4a0a-9d39-f6e51e464434}" id="{8fe2d559-0806-42c8-844b-9ca525dc82e2}" done="1">
    <x18tc:text xml:space="preserve">O título e subtítulo da página 3 estão incorretos.</x18tc:text>
  </x18tc:threadedComment>
  <x18tc:threadedComment ref="Z11" dT="2026-03-03T21:20:12.00" personId="{d083a14f-a9a6-4a0a-9d39-f6e51e464434}" id="{690e45d0-864e-415e-8339-366d6fc93cc5}" done="1">
    <x18tc:text xml:space="preserve">O ebook está sem a capa final</x18tc:text>
  </x18tc:threadedComment>
  <x18tc:threadedComment ref="Z19" dT="2026-03-03T21:23:12.00" personId="{d083a14f-a9a6-4a0a-9d39-f6e51e464434}" id="{88c9d380-ab08-42f2-9660-af747d08d505}" done="1">
    <x18tc:text xml:space="preserve">A capa da tarefa está como capítulo 2</x18tc:text>
  </x18tc:threadedComment>
  <x18tc:threadedComment ref="Z16" dT="2026-03-03T21:22:00.00" personId="{d083a14f-a9a6-4a0a-9d39-f6e51e464434}" id="{30982177-7063-41a9-9fa1-6bcac014f6f4}" done="1">
    <x18tc:text xml:space="preserve">A capa está com Unidade 3 Capítulo 3, este ebook é da unidade 2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Z3" dT="2026-03-06T15:49:22.00" personId="{d083a14f-a9a6-4a0a-9d39-f6e51e464434}" id="{ae678569-cfb1-44b6-bfe1-b26394e4d1dd}" done="1">
    <x18tc:text xml:space="preserve">No final do vídeo o professor não está enquadrado na tela</x18tc:text>
  </x18tc:threadedComment>
  <x18tc:threadedComment ref="Z2" dT="2026-03-06T15:55:24.00" personId="{d083a14f-a9a6-4a0a-9d39-f6e51e464434}" id="{e3ab7158-6c3b-43a3-96a4-61fadd478698}" done="1">
    <x18tc:text xml:space="preserve">No começo do vídeo o professor explica sobre o cronograma do padis 1, sendo que esse cuso é uma matriz diferente. Cortar essa parte</x18tc:text>
  </x18tc:threadedComment>
  <x18tc:threadedComment ref="Z5" dT="2026-03-06T15:53:07.00" personId="{d083a14f-a9a6-4a0a-9d39-f6e51e464434}" id="{7e0eb507-30d6-4b99-a149-9d11752036e6}" done="1">
    <x18tc:text xml:space="preserve">O professor está várias vezes saindo da tela</x18tc:text>
  </x18tc:threadedComment>
  <x18tc:threadedComment ref="Z21" dT="2026-03-06T16:07:38.00" personId="{d083a14f-a9a6-4a0a-9d39-f6e51e464434}" id="{049bbe01-0dc7-431a-8ce2-8d2e1fc3758d}" done="1">
    <x18tc:text xml:space="preserve">O professor sai da tela durante a explicação 11:01min</x18tc:text>
  </x18tc:threadedComment>
  <x18tc:threadedComment ref="Z18" dT="2026-03-06T16:02:30.00" personId="{d083a14f-a9a6-4a0a-9d39-f6e51e464434}" id="{ab1f4c38-f7d6-4a5e-a6be-c721ac2606de}" done="1">
    <x18tc:text xml:space="preserve">No final do vídeo 21:05min o professor sai da tela</x18tc:text>
  </x18tc:threadedComment>
  <x18tc:threadedComment ref="Z30" dT="2026-03-06T16:10:57.00" personId="{d083a14f-a9a6-4a0a-9d39-f6e51e464434}" id="{614e3a8d-ea6f-472b-8ab6-6572ed97a1a3}" done="1">
    <x18tc:text xml:space="preserve">Aidentidade visual está na frente do professor</x18tc:text>
  </x18tc:threadedComment>
  <x18tc:threadedComment ref="Z22" dT="2026-03-06T16:09:30.00" personId="{d083a14f-a9a6-4a0a-9d39-f6e51e464434}" id="{75cee125-5b43-47e4-befc-a0efe4bd44c6}" done="1">
    <x18tc:text xml:space="preserve">Diversas vezes a partir do momento 16:20, o professor sai da tela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Z31" dT="2026-03-06T16:39:16.00" personId="{d083a14f-a9a6-4a0a-9d39-f6e51e464434}" id="{488e9351-ff5f-47a7-9903-21600d6afce9}" done="1">
    <x18tc:text xml:space="preserve">A identidade visual está na frente do professor</x18tc:text>
  </x18tc:threadedComment>
  <x18tc:threadedComment ref="Z30" dT="2026-03-06T16:27:55.00" personId="{d083a14f-a9a6-4a0a-9d39-f6e51e464434}" id="{77080400-77c4-4919-a22a-8186c5c95e27}" done="1">
    <x18tc:text xml:space="preserve">Corrigir a Unidade e Capítulo que aparecem no incio do ebook</x18tc:text>
  </x18tc:threadedComment>
  <x18tc:threadedComment ref="Z39" dT="2026-03-06T16:27:07.00" personId="{d083a14f-a9a6-4a0a-9d39-f6e51e464434}" id="{3b18c7a1-ede3-4614-9f24-4b24b82550de}" done="1">
    <x18tc:text xml:space="preserve">No inicio do conteúdo do ebook está Unidade 1 Capítulo 1. Corrigir para a unidade e capítulo correspondente</x18tc:text>
  </x18tc:threadedComment>
  <x18tc:threadedComment ref="Z32" dT="2026-03-06T16:39:47.00" personId="{d083a14f-a9a6-4a0a-9d39-f6e51e464434}" id="{8ef1ec58-2ae5-439f-b1cf-36b6ad09752b}" done="1">
    <x18tc:text xml:space="preserve">A identidade visual está na frente da tela do professor</x18tc:text>
  </x18tc:threadedComment>
  <x18tc:threadedComment ref="Z11" dT="2026-03-06T16:32:24.00" personId="{d083a14f-a9a6-4a0a-9d39-f6e51e464434}" id="{3818e9ff-daf3-4ad6-89d5-48b399a288d3}" done="1">
    <x18tc:text xml:space="preserve">No início do vídeo o professor fala que irá começar a unidade 2. Retirar esta parte</x18tc:text>
  </x18tc:threadedComment>
  <x18tc:threadedComment ref="Z21" dT="2026-03-06T16:36:42.00" personId="{d083a14f-a9a6-4a0a-9d39-f6e51e464434}" id="{b9654bc2-4e42-45da-8359-c5d536608cf4}" done="1">
    <x18tc:text xml:space="preserve">A identidade visual está na frente do professor</x18tc:text>
  </x18tc:threadedComment>
  <x18tc:threadedComment ref="Z20" dT="2026-03-06T16:28:14.00" personId="{d083a14f-a9a6-4a0a-9d39-f6e51e464434}" id="{8fd49e33-0bb0-44ca-b330-ac404fca8063}" done="1">
    <x18tc:text xml:space="preserve">Corrigir a Unidade e Capítulo que aparecem no incio do ebook</x18tc:text>
  </x18tc:threadedComment>
  <x18tc:threadedComment ref="Z19" dT="2026-03-06T16:35:56.00" personId="{d083a14f-a9a6-4a0a-9d39-f6e51e464434}" id="{d893340f-40bf-422e-a058-12b5418592cf}" done="1">
    <x18tc:text xml:space="preserve">A identidade visual está na frente do professor</x18tc:text>
  </x18tc:threadedComment>
  <x18tc:threadedComment ref="Z23" dT="2026-03-06T16:38:13.00" personId="{d083a14f-a9a6-4a0a-9d39-f6e51e464434}" id="{6a0990a8-d98f-40d6-9db9-b7759fe75b69}" done="1">
    <x18tc:text xml:space="preserve">A identidade visual está na  frente da tela do professor</x18tc:text>
  </x18tc:threadedComment>
  <x18tc:threadedComment ref="Z13" dT="2026-03-06T16:34:54.00" personId="{d083a14f-a9a6-4a0a-9d39-f6e51e464434}" id="{005be62b-399c-489b-937b-28e0b0254e68}" done="1">
    <x18tc:text xml:space="preserve">Tirar a parte do começo dos vídeos em que o professor faz menção a unidade e capítulo</x18tc:text>
  </x18tc:threadedComment>
  <x18tc:threadedComment ref="Z22" dT="2026-03-06T16:37:20.00" personId="{d083a14f-a9a6-4a0a-9d39-f6e51e464434}" id="{8349cfed-0a7b-4668-99c7-3c66a87a0452}" done="1">
    <x18tc:text xml:space="preserve">A identidade visual está na frente do professor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presentation/d/1G4UrY_UdeWCniEjtZvvbAcVn4KF6fZjghA3BulLBVxM/edit?usp=sharing" TargetMode="External"/><Relationship Id="rId42" Type="http://schemas.openxmlformats.org/officeDocument/2006/relationships/hyperlink" Target="https://drive.google.com/file/d/1A_vITkrVXu0PzUQzlF9v_O1t9QMropar/view?usp=drive_link" TargetMode="External"/><Relationship Id="rId41" Type="http://schemas.openxmlformats.org/officeDocument/2006/relationships/hyperlink" Target="mailto:davi@fmm.org.br" TargetMode="External"/><Relationship Id="rId44" Type="http://schemas.openxmlformats.org/officeDocument/2006/relationships/hyperlink" Target="mailto:davi@fmm.org.br" TargetMode="External"/><Relationship Id="rId43" Type="http://schemas.openxmlformats.org/officeDocument/2006/relationships/hyperlink" Target="https://docs.google.com/presentation/d/1I40NuIaUkrzM5cxrpJLmy-lDRJKwJ1LvrUthYEN1WSs/edit?usp=sharing" TargetMode="External"/><Relationship Id="rId46" Type="http://schemas.openxmlformats.org/officeDocument/2006/relationships/hyperlink" Target="https://docs.google.com/document/d/1qRxRGj3z7ifPgCb2s1HYjlBtVr4AsAxu0wJNlkYdlvA/edit?usp=sharing" TargetMode="External"/><Relationship Id="rId45" Type="http://schemas.openxmlformats.org/officeDocument/2006/relationships/hyperlink" Target="https://drive.google.com/file/d/1bERggSFOiEphTwCcYLPbRtE8-ZdxkPAo/view?usp=drive_link" TargetMode="External"/><Relationship Id="rId1" Type="http://schemas.openxmlformats.org/officeDocument/2006/relationships/hyperlink" Target="https://docs.google.com/document/d/1p0WdanvWHVSdXXhe6qzDqCdAiebXTl5Pr9gq-gPZeIc/edit?usp=sharing" TargetMode="External"/><Relationship Id="rId2" Type="http://schemas.openxmlformats.org/officeDocument/2006/relationships/hyperlink" Target="mailto:davi@fmm.org.br" TargetMode="External"/><Relationship Id="rId3" Type="http://schemas.openxmlformats.org/officeDocument/2006/relationships/hyperlink" Target="https://drive.google.com/open?id=1X3F8chzl5oDW2lB_QAVx3TefazxnvQDJ&amp;usp=drive_copy" TargetMode="External"/><Relationship Id="rId4" Type="http://schemas.openxmlformats.org/officeDocument/2006/relationships/hyperlink" Target="https://docs.google.com/document/d/1fNfw1U6tXep78g_QG7W1dXOwCujOMBqzbdgt0EJh8Zg/edit?usp=sharing" TargetMode="External"/><Relationship Id="rId9" Type="http://schemas.openxmlformats.org/officeDocument/2006/relationships/hyperlink" Target="https://drive.google.com/open?id=14Unjy9l6V9gCp51ZsNa4Y6bZceSugSnu&amp;usp=drive_copy" TargetMode="External"/><Relationship Id="rId48" Type="http://schemas.openxmlformats.org/officeDocument/2006/relationships/hyperlink" Target="https://drive.google.com/file/d/1lkMs_iKdiQpoxJx4PmAdo65w2TxJrRdC/view?usp=drive_link" TargetMode="External"/><Relationship Id="rId47" Type="http://schemas.openxmlformats.org/officeDocument/2006/relationships/hyperlink" Target="mailto:davi@fmm.org.br" TargetMode="External"/><Relationship Id="rId49" Type="http://schemas.openxmlformats.org/officeDocument/2006/relationships/hyperlink" Target="https://docs.google.com/document/d/1AzUr-YB20XuN452tO87bRV73R7r6Hhif7qNhUDDd67w/edit?usp=sharing" TargetMode="External"/><Relationship Id="rId5" Type="http://schemas.openxmlformats.org/officeDocument/2006/relationships/hyperlink" Target="mailto:davi@fmm.org.br" TargetMode="External"/><Relationship Id="rId6" Type="http://schemas.openxmlformats.org/officeDocument/2006/relationships/hyperlink" Target="https://drive.google.com/open?id=1pf2xqkBNO3qunlsmo5hF3OpKs0xx0Gb3&amp;usp=drive_copy" TargetMode="External"/><Relationship Id="rId7" Type="http://schemas.openxmlformats.org/officeDocument/2006/relationships/hyperlink" Target="https://docs.google.com/document/d/1w5acwVsmPQ9OgqhpXth3JlqObue9yhoPzNsHSTPM3-U/edit?usp=sharing" TargetMode="External"/><Relationship Id="rId8" Type="http://schemas.openxmlformats.org/officeDocument/2006/relationships/hyperlink" Target="mailto:davi@fmm.org.br" TargetMode="External"/><Relationship Id="rId31" Type="http://schemas.openxmlformats.org/officeDocument/2006/relationships/hyperlink" Target="https://docs.google.com/document/d/1SLdXMs2_eoPW6HMO-D7w4xVoOfYEj5GA39HGEGLg_Fw/edit?usp=sharing" TargetMode="External"/><Relationship Id="rId30" Type="http://schemas.openxmlformats.org/officeDocument/2006/relationships/hyperlink" Target="https://drive.google.com/open?id=1aXn9U36muvnQ7DgEIxihFJLHYvPdLZSp&amp;usp=drive_copy" TargetMode="External"/><Relationship Id="rId33" Type="http://schemas.openxmlformats.org/officeDocument/2006/relationships/hyperlink" Target="https://drive.google.com/open?id=1Mbn-6oh12VQJvLCfVgYx5ksGsvCjQUdF&amp;usp=drive_copy" TargetMode="External"/><Relationship Id="rId32" Type="http://schemas.openxmlformats.org/officeDocument/2006/relationships/hyperlink" Target="mailto:davi@fmm.org.br" TargetMode="External"/><Relationship Id="rId35" Type="http://schemas.openxmlformats.org/officeDocument/2006/relationships/hyperlink" Target="mailto:davi@fmm.org.br" TargetMode="External"/><Relationship Id="rId34" Type="http://schemas.openxmlformats.org/officeDocument/2006/relationships/hyperlink" Target="https://docs.google.com/document/d/1KZyHB3ckjxNYgcf5RhP-fWM3XiN4G9YIuIYCzmoLYL0/edit?usp=sharing" TargetMode="External"/><Relationship Id="rId37" Type="http://schemas.openxmlformats.org/officeDocument/2006/relationships/hyperlink" Target="https://docs.google.com/presentation/d/1s7uLf8dYMIz4w7oG_5e_T6mFbZHj6uSveLGWj8xBS5c/edit?usp=sharing" TargetMode="External"/><Relationship Id="rId36" Type="http://schemas.openxmlformats.org/officeDocument/2006/relationships/hyperlink" Target="https://drive.google.com/file/d/1At2ibI4xm7LMKCNTId8bMZD4Ri4T_oiU/view?usp=drive_link" TargetMode="External"/><Relationship Id="rId39" Type="http://schemas.openxmlformats.org/officeDocument/2006/relationships/hyperlink" Target="https://drive.google.com/file/d/1SF2IKQ5tGgZJfZ9cLeXrlvQvGMrLbjz_/view?usp=drive_link" TargetMode="External"/><Relationship Id="rId38" Type="http://schemas.openxmlformats.org/officeDocument/2006/relationships/hyperlink" Target="mailto:davi@fmm.org.br" TargetMode="External"/><Relationship Id="rId20" Type="http://schemas.openxmlformats.org/officeDocument/2006/relationships/hyperlink" Target="mailto:davi@fmm.org.br" TargetMode="External"/><Relationship Id="rId22" Type="http://schemas.openxmlformats.org/officeDocument/2006/relationships/hyperlink" Target="https://docs.google.com/document/d/1jrYuvZdXS-xHrdi9s-I75H3_1nFB8DafuwJLtLENf3Q/edit?usp=sharing" TargetMode="External"/><Relationship Id="rId21" Type="http://schemas.openxmlformats.org/officeDocument/2006/relationships/hyperlink" Target="https://drive.google.com/file/d/1-O39SBenXbCnPTtCFPfRpbrLGAMzTm1v/view?usp=drive_link" TargetMode="External"/><Relationship Id="rId24" Type="http://schemas.openxmlformats.org/officeDocument/2006/relationships/hyperlink" Target="https://drive.google.com/file/d/1I_iVLiscVxwIRom0aGUriJODHNHfhoN1/view?usp=drive_link" TargetMode="External"/><Relationship Id="rId23" Type="http://schemas.openxmlformats.org/officeDocument/2006/relationships/hyperlink" Target="mailto:davi@fmm.org.br" TargetMode="External"/><Relationship Id="rId60" Type="http://schemas.openxmlformats.org/officeDocument/2006/relationships/table" Target="../tables/table1.xml"/><Relationship Id="rId26" Type="http://schemas.openxmlformats.org/officeDocument/2006/relationships/hyperlink" Target="mailto:davi@fmm.org.br" TargetMode="External"/><Relationship Id="rId25" Type="http://schemas.openxmlformats.org/officeDocument/2006/relationships/hyperlink" Target="https://docs.google.com/document/d/10-87JMjSUH1xip7JvS0lQRyjpfF-K3Bm1DrsypePOCg/edit?usp=sharing" TargetMode="External"/><Relationship Id="rId28" Type="http://schemas.openxmlformats.org/officeDocument/2006/relationships/hyperlink" Target="https://docs.google.com/document/d/1Pg2fxBiUvc4R94-4Yv6jBQdRAG13XCD3-5H6xnOgQS8/edit?usp=sharing" TargetMode="External"/><Relationship Id="rId27" Type="http://schemas.openxmlformats.org/officeDocument/2006/relationships/hyperlink" Target="https://drive.google.com/open?id=1-P5LOGCADlbS1l08kpLZEEUgk6B6oSNl&amp;usp=drive_fs" TargetMode="External"/><Relationship Id="rId29" Type="http://schemas.openxmlformats.org/officeDocument/2006/relationships/hyperlink" Target="mailto:davi@fmm.org.br" TargetMode="External"/><Relationship Id="rId51" Type="http://schemas.openxmlformats.org/officeDocument/2006/relationships/hyperlink" Target="https://drive.google.com/file/d/1F2CMuTcK72Q1DstWV7Zw6S9DWqckpGTi/view?usp=drive_link" TargetMode="External"/><Relationship Id="rId50" Type="http://schemas.openxmlformats.org/officeDocument/2006/relationships/hyperlink" Target="mailto:davi@fmm.org.br" TargetMode="External"/><Relationship Id="rId53" Type="http://schemas.openxmlformats.org/officeDocument/2006/relationships/hyperlink" Target="mailto:davi@fmm.org.br" TargetMode="External"/><Relationship Id="rId52" Type="http://schemas.openxmlformats.org/officeDocument/2006/relationships/hyperlink" Target="https://docs.google.com/document/d/1H1SiX_XI3zWd48d7vuerdDy8Cf5Loo3jwWJG8YVU4es/edit?usp=sharing" TargetMode="External"/><Relationship Id="rId11" Type="http://schemas.openxmlformats.org/officeDocument/2006/relationships/hyperlink" Target="mailto:davi@fmm.org.br" TargetMode="External"/><Relationship Id="rId55" Type="http://schemas.openxmlformats.org/officeDocument/2006/relationships/hyperlink" Target="https://docs.google.com/document/d/1L7gZybKG1ozTIF2aFOnKN3u2zwdwqD2OBBxbrl_fFJk/edit?usp=sharing" TargetMode="External"/><Relationship Id="rId10" Type="http://schemas.openxmlformats.org/officeDocument/2006/relationships/hyperlink" Target="https://docs.google.com/presentation/d/1iGwmG5F2Q1T0kHFNiFbxAz8xgGZiV2YF9as6vv_1KMs/edit?usp=sharing" TargetMode="External"/><Relationship Id="rId54" Type="http://schemas.openxmlformats.org/officeDocument/2006/relationships/hyperlink" Target="https://drive.google.com/open?id=1MGQ5aCBJWOKQA1EtvLMwvbGo1sUn8Eb-&amp;usp=drive_fs" TargetMode="External"/><Relationship Id="rId13" Type="http://schemas.openxmlformats.org/officeDocument/2006/relationships/hyperlink" Target="https://docs.google.com/presentation/d/1DdvfWRoM5V7YV6ZvqdbwmcQJ6g7Bz_5pkzP2QmdnOY4/edit?usp=sharing" TargetMode="External"/><Relationship Id="rId57" Type="http://schemas.openxmlformats.org/officeDocument/2006/relationships/hyperlink" Target="https://drive.google.com/file/d/1zeeXzpqiVbEVz45pft-bGL4_Yk-RobRe/view?usp=drive_link" TargetMode="External"/><Relationship Id="rId12" Type="http://schemas.openxmlformats.org/officeDocument/2006/relationships/hyperlink" Target="https://drive.google.com/file/d/1C8G0C3EIlS1XN_GtMjqndY97C2PZysqw/view?usp=drive_link" TargetMode="External"/><Relationship Id="rId56" Type="http://schemas.openxmlformats.org/officeDocument/2006/relationships/hyperlink" Target="mailto:davi@fmm.org.br" TargetMode="External"/><Relationship Id="rId15" Type="http://schemas.openxmlformats.org/officeDocument/2006/relationships/hyperlink" Target="https://drive.google.com/file/d/12Wctpkd5Aa4wIqMJ6eZIu6XFXg6ZY9eU/view?usp=drive_link" TargetMode="External"/><Relationship Id="rId14" Type="http://schemas.openxmlformats.org/officeDocument/2006/relationships/hyperlink" Target="mailto:davi@fmm.org.br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mailto:davi@fmm.org.br" TargetMode="External"/><Relationship Id="rId16" Type="http://schemas.openxmlformats.org/officeDocument/2006/relationships/hyperlink" Target="https://docs.google.com/presentation/d/1gGViXORQdz8kjxUiJ3I2GRsb8_ZKG2aRkgd_hdnh-gM/edit?usp=sharing" TargetMode="External"/><Relationship Id="rId19" Type="http://schemas.openxmlformats.org/officeDocument/2006/relationships/hyperlink" Target="https://docs.google.com/document/d/1-ipf-dgmyHzFghxq-WcVgPSJptgQhpRWAXN4IKvprGo/edit?usp=sharing" TargetMode="External"/><Relationship Id="rId18" Type="http://schemas.openxmlformats.org/officeDocument/2006/relationships/hyperlink" Target="https://drive.google.com/file/d/1XWHzBmPuQwkL6Ah91liD9jMTYdzBb59i/view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tarcizio.gomes@ifce.edu.br" TargetMode="External"/><Relationship Id="rId42" Type="http://schemas.openxmlformats.org/officeDocument/2006/relationships/hyperlink" Target="https://docs.google.com/presentation/d/1wq5IWZ7N2NqqsxHtGnGMyk_GDbgVSxGCEmX-XdoOMG4/edit?usp=sharing" TargetMode="External"/><Relationship Id="rId41" Type="http://schemas.openxmlformats.org/officeDocument/2006/relationships/hyperlink" Target="https://drive.google.com/open?id=11TxV-utaF6Q71AYuQxyJcs3xEua1o6Zw&amp;usp=drive_fs" TargetMode="External"/><Relationship Id="rId44" Type="http://schemas.openxmlformats.org/officeDocument/2006/relationships/hyperlink" Target="https://drive.google.com/open?id=1tcexx0W8U4Weoji1vQuj-kAULJDRcptX&amp;usp=drive_fs" TargetMode="External"/><Relationship Id="rId43" Type="http://schemas.openxmlformats.org/officeDocument/2006/relationships/hyperlink" Target="mailto:tarcizio.gomes@ifce.edu.br" TargetMode="External"/><Relationship Id="rId46" Type="http://schemas.openxmlformats.org/officeDocument/2006/relationships/hyperlink" Target="mailto:tarcizio.gomes@ifce.edu.br" TargetMode="External"/><Relationship Id="rId45" Type="http://schemas.openxmlformats.org/officeDocument/2006/relationships/hyperlink" Target="https://docs.google.com/document/d/1PPPRKe4Ph3VImZdf5ZloFTGmQjUjfbpMHlzKez877qY/edit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axMKb9Oj62_6U_jnsffPEmqTzpayUuI0vbZljv_2ifE/edit?usp=sharing" TargetMode="External"/><Relationship Id="rId9" Type="http://schemas.openxmlformats.org/officeDocument/2006/relationships/hyperlink" Target="https://drive.google.com/open?id=1GIrg1NefkLQxqoY1-FoA5QwOPHARlutX&amp;usp=drive_copy" TargetMode="External"/><Relationship Id="rId48" Type="http://schemas.openxmlformats.org/officeDocument/2006/relationships/hyperlink" Target="https://docs.google.com/document/d/1d1b44tuO4142ZQYcgLbOQC7LzHDAFvpO9fa-CyAA6Sk/edit?usp=sharing" TargetMode="External"/><Relationship Id="rId47" Type="http://schemas.openxmlformats.org/officeDocument/2006/relationships/hyperlink" Target="https://drive.google.com/open?id=18ia449nchYEaMM0pntrAbUhyZfMQxSwV&amp;usp=drive_fs" TargetMode="External"/><Relationship Id="rId49" Type="http://schemas.openxmlformats.org/officeDocument/2006/relationships/hyperlink" Target="mailto:tarcizio.gomes@ifce.edu.br" TargetMode="External"/><Relationship Id="rId5" Type="http://schemas.openxmlformats.org/officeDocument/2006/relationships/hyperlink" Target="mailto:tarcizio.gomes@ifce.edu.br" TargetMode="External"/><Relationship Id="rId6" Type="http://schemas.openxmlformats.org/officeDocument/2006/relationships/hyperlink" Target="https://drive.google.com/open?id=1BGTrM4Zumg8m44FkW01VFtayHPLK-Rry&amp;usp=drive_copy" TargetMode="External"/><Relationship Id="rId7" Type="http://schemas.openxmlformats.org/officeDocument/2006/relationships/hyperlink" Target="https://docs.google.com/document/d/1_0iOjcK1uaDFN_hepL3Hrow9t9mQS97KrGcLPEELY6Q/edit?usp=sharing" TargetMode="External"/><Relationship Id="rId8" Type="http://schemas.openxmlformats.org/officeDocument/2006/relationships/hyperlink" Target="mailto:tarcizio.gomes@ifce.edu.br" TargetMode="External"/><Relationship Id="rId31" Type="http://schemas.openxmlformats.org/officeDocument/2006/relationships/hyperlink" Target="mailto:tarcizio.gomes@ifce.edu.br" TargetMode="External"/><Relationship Id="rId30" Type="http://schemas.openxmlformats.org/officeDocument/2006/relationships/hyperlink" Target="https://docs.google.com/document/d/1M7LRY5p_yzfmZ35P7Tv9HbfWEDGZgVuN1Bc7L0jJK1k/edit?usp=sharing" TargetMode="External"/><Relationship Id="rId33" Type="http://schemas.openxmlformats.org/officeDocument/2006/relationships/hyperlink" Target="https://docs.google.com/document/d/1g4VUuBGcJ0E2i4JySDgIiOyLw0qLUZQPLCjubs_3NtQ/edit?usp=sharing" TargetMode="External"/><Relationship Id="rId32" Type="http://schemas.openxmlformats.org/officeDocument/2006/relationships/hyperlink" Target="https://drive.google.com/open?id=1NYSShz8NhvxQxoaRDQ0LniO9KJFwQEXA&amp;usp=drive_fs" TargetMode="External"/><Relationship Id="rId35" Type="http://schemas.openxmlformats.org/officeDocument/2006/relationships/hyperlink" Target="https://drive.google.com/open?id=13SjbOMjnc4-GijwUNdQAd8i7Fo6Bk9SB&amp;usp=drive_copy" TargetMode="External"/><Relationship Id="rId34" Type="http://schemas.openxmlformats.org/officeDocument/2006/relationships/hyperlink" Target="mailto:tarcizio.gomes@ifce.edu.br" TargetMode="External"/><Relationship Id="rId37" Type="http://schemas.openxmlformats.org/officeDocument/2006/relationships/hyperlink" Target="mailto:tarcizio.gomes@ifce.edu.br" TargetMode="External"/><Relationship Id="rId36" Type="http://schemas.openxmlformats.org/officeDocument/2006/relationships/hyperlink" Target="https://docs.google.com/document/d/1mVgWheICZ0XqNpmddlkcuHutcksYqbSH5WctfLYjQow/edit?usp=sharing" TargetMode="External"/><Relationship Id="rId39" Type="http://schemas.openxmlformats.org/officeDocument/2006/relationships/hyperlink" Target="https://docs.google.com/document/d/1NETJuiyIlfZsf6P4Ep9sZd3bNnLZOVFxv8GJ8mKjbtw/edit?usp=sharing" TargetMode="External"/><Relationship Id="rId38" Type="http://schemas.openxmlformats.org/officeDocument/2006/relationships/hyperlink" Target="https://drive.google.com/open?id=1Z9i58a3CecyCmgB5_jHq4Wy-QsLTmosL&amp;usp=drive_copy" TargetMode="External"/><Relationship Id="rId20" Type="http://schemas.openxmlformats.org/officeDocument/2006/relationships/hyperlink" Target="https://drive.google.com/open?id=13DDWEOPKB4U_fJK14izhGalaiqww3vrY&amp;usp=drive_copy" TargetMode="External"/><Relationship Id="rId22" Type="http://schemas.openxmlformats.org/officeDocument/2006/relationships/hyperlink" Target="mailto:tarcizio.gomes@ifce.edu.br" TargetMode="External"/><Relationship Id="rId21" Type="http://schemas.openxmlformats.org/officeDocument/2006/relationships/hyperlink" Target="https://docs.google.com/document/d/12gJjhbkSyV8NjK-AQ9LgATWwsV5t7LbJM4n8wBmHzPM/edit?usp=sharing" TargetMode="External"/><Relationship Id="rId24" Type="http://schemas.openxmlformats.org/officeDocument/2006/relationships/hyperlink" Target="https://docs.google.com/document/d/1QftaDjCm031wI9w8SdhnBj905ZJZk0LHsDdBImjXX2E/edit?usp=sharing" TargetMode="External"/><Relationship Id="rId23" Type="http://schemas.openxmlformats.org/officeDocument/2006/relationships/hyperlink" Target="https://drive.google.com/open?id=1Lm2Nb2ohnuLVmyPqo0Wbxqs0NfAqbMDR&amp;usp=drive_copy" TargetMode="External"/><Relationship Id="rId26" Type="http://schemas.openxmlformats.org/officeDocument/2006/relationships/hyperlink" Target="https://drive.google.com/open?id=1x8m48VKXX5oOod470zR43-zTak0Xfym_&amp;usp=drive_fs" TargetMode="External"/><Relationship Id="rId25" Type="http://schemas.openxmlformats.org/officeDocument/2006/relationships/hyperlink" Target="mailto:tarcizio.gomes@ifce.edu.br" TargetMode="External"/><Relationship Id="rId28" Type="http://schemas.openxmlformats.org/officeDocument/2006/relationships/hyperlink" Target="mailto:tarcizio.gomes@ifce.edu.br" TargetMode="External"/><Relationship Id="rId27" Type="http://schemas.openxmlformats.org/officeDocument/2006/relationships/hyperlink" Target="https://docs.google.com/presentation/d/1mYK9E6srA1DydrLh401O5wKIbaDDi50Bg8QSQjGcpEE/edit?usp=sharing" TargetMode="External"/><Relationship Id="rId29" Type="http://schemas.openxmlformats.org/officeDocument/2006/relationships/hyperlink" Target="https://drive.google.com/open?id=1PyXNcei6zh6bIjD2mGVmNtvSOUWnXpla&amp;usp=drive_fs" TargetMode="External"/><Relationship Id="rId51" Type="http://schemas.openxmlformats.org/officeDocument/2006/relationships/hyperlink" Target="mailto:tarcizio.gomes@ifce.edu.br" TargetMode="External"/><Relationship Id="rId50" Type="http://schemas.openxmlformats.org/officeDocument/2006/relationships/hyperlink" Target="https://drive.google.com/open?id=1Ms7DUisRFikx26RLweIfShNLYjPFpdV9&amp;usp=drive_fs" TargetMode="External"/><Relationship Id="rId53" Type="http://schemas.openxmlformats.org/officeDocument/2006/relationships/hyperlink" Target="https://docs.google.com/document/d/1KDNUuTyavPjnIVqhzlNGDNQfcoEX8-u_uSDrpuvgl6I/edit?usp=sharing" TargetMode="External"/><Relationship Id="rId52" Type="http://schemas.openxmlformats.org/officeDocument/2006/relationships/hyperlink" Target="https://drive.google.com/open?id=1CiwmI-g208FatUtKWVeRiskkuG8TkfIb&amp;usp=drive_copy" TargetMode="External"/><Relationship Id="rId11" Type="http://schemas.openxmlformats.org/officeDocument/2006/relationships/hyperlink" Target="mailto:tarcizio.gomes@ifce.edu.br" TargetMode="External"/><Relationship Id="rId55" Type="http://schemas.openxmlformats.org/officeDocument/2006/relationships/hyperlink" Target="https://drive.google.com/open?id=1f_IsUQQFfU3tGqHriFifgnsB4LC7hX-5&amp;usp=drive_fs" TargetMode="External"/><Relationship Id="rId10" Type="http://schemas.openxmlformats.org/officeDocument/2006/relationships/hyperlink" Target="https://docs.google.com/document/d/1ssArvBYtclHyZtM9iN5SYDKMMcWJ98CLQkchEhby2X0/edit?usp=sharing" TargetMode="External"/><Relationship Id="rId54" Type="http://schemas.openxmlformats.org/officeDocument/2006/relationships/hyperlink" Target="mailto:tarcizio.gomes@ifce.edu.br" TargetMode="External"/><Relationship Id="rId13" Type="http://schemas.openxmlformats.org/officeDocument/2006/relationships/hyperlink" Target="https://docs.google.com/presentation/d/1tAEpVae3ZJ3qrAUUHO1XIfdv52Aq4Cf-0Mg_Y5H76HY/edit?usp=sharing" TargetMode="External"/><Relationship Id="rId57" Type="http://schemas.openxmlformats.org/officeDocument/2006/relationships/vmlDrawing" Target="../drawings/vmlDrawing1.vml"/><Relationship Id="rId12" Type="http://schemas.openxmlformats.org/officeDocument/2006/relationships/hyperlink" Target="https://drive.google.com/open?id=1fbKS4DgZN4DJ69XV8GxRMyyk9hQPMWGK&amp;usp=drive_fs" TargetMode="External"/><Relationship Id="rId56" Type="http://schemas.openxmlformats.org/officeDocument/2006/relationships/drawing" Target="../drawings/drawing2.xml"/><Relationship Id="rId15" Type="http://schemas.openxmlformats.org/officeDocument/2006/relationships/hyperlink" Target="https://docs.google.com/document/d/1_z26EeXkwLEv-0ukUDj-TkkxpU-v0vjSqM2IS6we-r8/edit?usp=sharing" TargetMode="External"/><Relationship Id="rId59" Type="http://schemas.openxmlformats.org/officeDocument/2006/relationships/table" Target="../tables/table2.xml"/><Relationship Id="rId14" Type="http://schemas.openxmlformats.org/officeDocument/2006/relationships/hyperlink" Target="mailto:tarcizio.gomes@ifce.edu.br" TargetMode="External"/><Relationship Id="rId17" Type="http://schemas.openxmlformats.org/officeDocument/2006/relationships/hyperlink" Target="https://drive.google.com/open?id=1i2HEybayKvW1m6CP8OVFirhUZmSlxO2J&amp;usp=drive_fs" TargetMode="External"/><Relationship Id="rId16" Type="http://schemas.openxmlformats.org/officeDocument/2006/relationships/hyperlink" Target="mailto:tarcizio.gomes@ifce.edu.br" TargetMode="External"/><Relationship Id="rId19" Type="http://schemas.openxmlformats.org/officeDocument/2006/relationships/hyperlink" Target="mailto:tarcizio.gomes@ifce.edu.br" TargetMode="External"/><Relationship Id="rId18" Type="http://schemas.openxmlformats.org/officeDocument/2006/relationships/hyperlink" Target="https://docs.google.com/document/d/1MmjOoa73hGoydyQ4qfgrqpLOUioO1iDg7lWq7Qx81S8/edit?usp=sharin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eSW7OA3ZcgrZZXmzVg7fXS6aFSUQ1hMGYUcrsCgwBCU/edit?usp=sharing" TargetMode="External"/><Relationship Id="rId42" Type="http://schemas.openxmlformats.org/officeDocument/2006/relationships/hyperlink" Target="https://drive.google.com/file/d/1uFS7boV9O1Mq_HHFEOjHiOD5oqtaDpq5/view?usp=drive_link" TargetMode="External"/><Relationship Id="rId41" Type="http://schemas.openxmlformats.org/officeDocument/2006/relationships/hyperlink" Target="mailto:joaofonseca88@gmail.com" TargetMode="External"/><Relationship Id="rId44" Type="http://schemas.openxmlformats.org/officeDocument/2006/relationships/hyperlink" Target="mailto:joaofonseca88@gmail.com" TargetMode="External"/><Relationship Id="rId43" Type="http://schemas.openxmlformats.org/officeDocument/2006/relationships/hyperlink" Target="https://docs.google.com/document/d/1gZ5VEyzYxRbTt9RkgHQgA9KaPKVYhbHv-dtgAQ7foVk/edit?usp=sharing" TargetMode="External"/><Relationship Id="rId46" Type="http://schemas.openxmlformats.org/officeDocument/2006/relationships/hyperlink" Target="mailto:joaofonseca88@gmail.com" TargetMode="External"/><Relationship Id="rId45" Type="http://schemas.openxmlformats.org/officeDocument/2006/relationships/hyperlink" Target="https://drive.google.com/file/d/1q1YoNZ9j1OdFvVCuHX572wedMUctECJS/view?usp=drive_link" TargetMode="External"/><Relationship Id="rId107" Type="http://schemas.openxmlformats.org/officeDocument/2006/relationships/hyperlink" Target="https://docs.google.com/presentation/d/1QOLbJ2SlYAMQSR9r9zTp7TtRi6B0Re3oh7DlUeO_bQ8/edit?usp=sharing" TargetMode="External"/><Relationship Id="rId106" Type="http://schemas.openxmlformats.org/officeDocument/2006/relationships/hyperlink" Target="https://drive.google.com/file/d/1tmT5wxELt39WAEh7cNnrUa-r9bF_KQQ5/view?usp=drive_link" TargetMode="External"/><Relationship Id="rId105" Type="http://schemas.openxmlformats.org/officeDocument/2006/relationships/hyperlink" Target="mailto:joaofonseca88@gmail.com" TargetMode="External"/><Relationship Id="rId104" Type="http://schemas.openxmlformats.org/officeDocument/2006/relationships/hyperlink" Target="https://docs.google.com/presentation/d/1sDiMLN2BikE-W7jOvExBx8sQLdS4-CmV8cO2DBtiiBU/edit?usp=sharing" TargetMode="External"/><Relationship Id="rId109" Type="http://schemas.openxmlformats.org/officeDocument/2006/relationships/hyperlink" Target="https://drive.google.com/file/d/1z9s4DqQm_MT8FMSbNFfVM6WAXhUWjL5p/view?usp=drive_link" TargetMode="External"/><Relationship Id="rId108" Type="http://schemas.openxmlformats.org/officeDocument/2006/relationships/hyperlink" Target="mailto:joaofonseca88@gmail.com" TargetMode="External"/><Relationship Id="rId48" Type="http://schemas.openxmlformats.org/officeDocument/2006/relationships/hyperlink" Target="https://docs.google.com/document/d/19wbGFixfV-Mt3byPV2XPT9nAHgPKpAiBZcOrYSoBERw/edit?usp=sharing" TargetMode="External"/><Relationship Id="rId47" Type="http://schemas.openxmlformats.org/officeDocument/2006/relationships/hyperlink" Target="https://drive.google.com/open?id=1fGKjdCmv2_Q7FzG5MPNSwEjHSNB01kRm&amp;usp=drive_copy" TargetMode="External"/><Relationship Id="rId49" Type="http://schemas.openxmlformats.org/officeDocument/2006/relationships/hyperlink" Target="mailto:joaofonseca88@gmail.com" TargetMode="External"/><Relationship Id="rId103" Type="http://schemas.openxmlformats.org/officeDocument/2006/relationships/hyperlink" Target="https://drive.google.com/file/d/1_rMR9kEG2eqFgB4mcVeRGQQIVpllFKNc/view?usp=sharing" TargetMode="External"/><Relationship Id="rId102" Type="http://schemas.openxmlformats.org/officeDocument/2006/relationships/hyperlink" Target="mailto:joaofonseca88@gmail.com" TargetMode="External"/><Relationship Id="rId101" Type="http://schemas.openxmlformats.org/officeDocument/2006/relationships/hyperlink" Target="https://docs.google.com/presentation/d/1WZSTU0xgFv-8n25cqfsr8WkyzItmkBj_UwMOO4L4TQ4/edit?usp=sharing" TargetMode="External"/><Relationship Id="rId100" Type="http://schemas.openxmlformats.org/officeDocument/2006/relationships/hyperlink" Target="https://drive.google.com/file/d/1PqnY0rrrIRZq5rW4Dbnx_qQW80sPIsi0/view?usp=drive_link" TargetMode="External"/><Relationship Id="rId31" Type="http://schemas.openxmlformats.org/officeDocument/2006/relationships/hyperlink" Target="https://docs.google.com/presentation/d/1-s6Tv_0udpVwJrbgE4aoJR_Gx__sGly-X8B9hVu625w/edit?usp=sharing" TargetMode="External"/><Relationship Id="rId30" Type="http://schemas.openxmlformats.org/officeDocument/2006/relationships/hyperlink" Target="https://drive.google.com/file/d/1baK4h3D9WdeSqXOTbq-cAB3JJ05r1Rym/view?usp=drive_link" TargetMode="External"/><Relationship Id="rId33" Type="http://schemas.openxmlformats.org/officeDocument/2006/relationships/hyperlink" Target="https://drive.google.com/file/d/1eivZYsJjwz57nJhpnAJue_ynp9pQhvb5/view?usp=drive_link" TargetMode="External"/><Relationship Id="rId32" Type="http://schemas.openxmlformats.org/officeDocument/2006/relationships/hyperlink" Target="mailto:joaofonseca88@gmail.com" TargetMode="External"/><Relationship Id="rId35" Type="http://schemas.openxmlformats.org/officeDocument/2006/relationships/hyperlink" Target="mailto:joaofonseca88@gmail.com" TargetMode="External"/><Relationship Id="rId34" Type="http://schemas.openxmlformats.org/officeDocument/2006/relationships/hyperlink" Target="https://docs.google.com/presentation/d/14fw4ef_DAaRt8AQTtuWslslmPzkufrdfjoSGji--X9Q/edit?usp=sharing" TargetMode="External"/><Relationship Id="rId37" Type="http://schemas.openxmlformats.org/officeDocument/2006/relationships/hyperlink" Target="https://docs.google.com/presentation/d/1LHu7BuQyPcpqGR_mFZ42nf6CD9d78tYkVTh9ML2yqsA/edit?usp=sharing" TargetMode="External"/><Relationship Id="rId36" Type="http://schemas.openxmlformats.org/officeDocument/2006/relationships/hyperlink" Target="https://drive.google.com/file/d/1r1XAs0d3ZGEDQKXIgnzVg3dG9O17VWjm/view?usp=drive_link" TargetMode="External"/><Relationship Id="rId39" Type="http://schemas.openxmlformats.org/officeDocument/2006/relationships/hyperlink" Target="https://drive.google.com/file/d/1CGIYmWT20xkKM6aU15AERV7dwO9sduON/view?usp=drive_link" TargetMode="External"/><Relationship Id="rId38" Type="http://schemas.openxmlformats.org/officeDocument/2006/relationships/hyperlink" Target="mailto:joaofonseca88@gmail.com" TargetMode="External"/><Relationship Id="rId20" Type="http://schemas.openxmlformats.org/officeDocument/2006/relationships/hyperlink" Target="mailto:joaofonseca88@gmail.com" TargetMode="External"/><Relationship Id="rId22" Type="http://schemas.openxmlformats.org/officeDocument/2006/relationships/hyperlink" Target="https://docs.google.com/presentation/d/1IN1z5N8ctNrWYQH49u3jaFReDos9s_GM4Hfxf25zJ9k/edit?usp=sharing" TargetMode="External"/><Relationship Id="rId21" Type="http://schemas.openxmlformats.org/officeDocument/2006/relationships/hyperlink" Target="https://drive.google.com/open?id=1JkqpOttSgJr50e4Zns9dVh3_Bkt-amhO&amp;usp=drive_copy" TargetMode="External"/><Relationship Id="rId24" Type="http://schemas.openxmlformats.org/officeDocument/2006/relationships/hyperlink" Target="https://drive.google.com/file/d/11PjU1GfAoC7nsou3jjDsCsqxyL3RkAjK/view?usp=drive_link" TargetMode="External"/><Relationship Id="rId23" Type="http://schemas.openxmlformats.org/officeDocument/2006/relationships/hyperlink" Target="mailto:joaofonseca88@gmail.com" TargetMode="External"/><Relationship Id="rId127" Type="http://schemas.openxmlformats.org/officeDocument/2006/relationships/table" Target="../tables/table3.xml"/><Relationship Id="rId26" Type="http://schemas.openxmlformats.org/officeDocument/2006/relationships/hyperlink" Target="mailto:joaofonseca88@gmail.com" TargetMode="External"/><Relationship Id="rId121" Type="http://schemas.openxmlformats.org/officeDocument/2006/relationships/hyperlink" Target="https://docs.google.com/document/d/1OY76JUCUbRGINmVbF-_8KBntkmeyYejkHcMzc5oeUjk/edit?usp=sharing" TargetMode="External"/><Relationship Id="rId25" Type="http://schemas.openxmlformats.org/officeDocument/2006/relationships/hyperlink" Target="https://docs.google.com/presentation/d/1eHUIGAeqv5x57mJicCBbVyU-RwZry60lCbQGV3RAm2Y/edit?usp=sharing" TargetMode="External"/><Relationship Id="rId120" Type="http://schemas.openxmlformats.org/officeDocument/2006/relationships/hyperlink" Target="https://drive.google.com/file/d/14-Q0BBVuIjyn0LSPQ_BoX_-UXttJ-rBW/view?usp=drive_link" TargetMode="External"/><Relationship Id="rId28" Type="http://schemas.openxmlformats.org/officeDocument/2006/relationships/hyperlink" Target="https://docs.google.com/presentation/d/11CnjKBNDwvBju1sB7rKgsihSGgtVO6i-cXrF-FH18y8/edit?usp=sharing" TargetMode="External"/><Relationship Id="rId27" Type="http://schemas.openxmlformats.org/officeDocument/2006/relationships/hyperlink" Target="https://drive.google.com/file/d/1HByUNPFqiSQJte4WJwtE_MbWoShkWQKO/view?usp=drive_link" TargetMode="External"/><Relationship Id="rId125" Type="http://schemas.openxmlformats.org/officeDocument/2006/relationships/vmlDrawing" Target="../drawings/vmlDrawing2.vml"/><Relationship Id="rId29" Type="http://schemas.openxmlformats.org/officeDocument/2006/relationships/hyperlink" Target="mailto:joaofonseca88@gmail.com" TargetMode="External"/><Relationship Id="rId124" Type="http://schemas.openxmlformats.org/officeDocument/2006/relationships/drawing" Target="../drawings/drawing3.xml"/><Relationship Id="rId123" Type="http://schemas.openxmlformats.org/officeDocument/2006/relationships/hyperlink" Target="https://drive.google.com/open?id=1jhleZOGUknE-MkgI3CFoATTtatOYcYNg&amp;usp=drive_fs" TargetMode="External"/><Relationship Id="rId122" Type="http://schemas.openxmlformats.org/officeDocument/2006/relationships/hyperlink" Target="mailto:joaofonseca88@gmail.com" TargetMode="External"/><Relationship Id="rId95" Type="http://schemas.openxmlformats.org/officeDocument/2006/relationships/hyperlink" Target="https://docs.google.com/document/d/1S2Z-w2awxpJQzGwe_LUZRWzj-ld3Oa75lAxTtKHY3lk/edit?usp=sharing" TargetMode="External"/><Relationship Id="rId94" Type="http://schemas.openxmlformats.org/officeDocument/2006/relationships/hyperlink" Target="https://drive.google.com/open?id=1qF55VqrFr__ln5xu22GpHZZp5J77YBfw&amp;usp=drive_copy" TargetMode="External"/><Relationship Id="rId97" Type="http://schemas.openxmlformats.org/officeDocument/2006/relationships/hyperlink" Target="https://drive.google.com/file/d/1Iqkp__ZYUN96OKrZSgl3YMRhSRK8zqz_/view?usp=drive_link" TargetMode="External"/><Relationship Id="rId96" Type="http://schemas.openxmlformats.org/officeDocument/2006/relationships/hyperlink" Target="mailto:joaofonseca88@gmail.com" TargetMode="External"/><Relationship Id="rId11" Type="http://schemas.openxmlformats.org/officeDocument/2006/relationships/hyperlink" Target="mailto:joaofonseca88@gmail.com" TargetMode="External"/><Relationship Id="rId99" Type="http://schemas.openxmlformats.org/officeDocument/2006/relationships/hyperlink" Target="mailto:joaofonseca88@gmail.com" TargetMode="External"/><Relationship Id="rId10" Type="http://schemas.openxmlformats.org/officeDocument/2006/relationships/hyperlink" Target="https://docs.google.com/document/d/1XQjkCDoIvJqCQz7TXcKk8U0icgVk1eW_CjRX75oZp84/edit?usp=sharing" TargetMode="External"/><Relationship Id="rId98" Type="http://schemas.openxmlformats.org/officeDocument/2006/relationships/hyperlink" Target="https://docs.google.com/document/d/1QF01AzRXJFteYPKZiZjeyY-lyzJFyeYB1SimcwZTyUY/edit?usp=sharing" TargetMode="External"/><Relationship Id="rId13" Type="http://schemas.openxmlformats.org/officeDocument/2006/relationships/hyperlink" Target="https://docs.google.com/document/d/1laOMODODuc8C7LOmCTWAG4n8i2K-YBvSm2KbspINqdc/edit?usp=sharing" TargetMode="External"/><Relationship Id="rId12" Type="http://schemas.openxmlformats.org/officeDocument/2006/relationships/hyperlink" Target="https://drive.google.com/open?id=1mwVbgLdVfp9LCuHfKs6dREiq831SZSYg&amp;usp=drive_copy" TargetMode="External"/><Relationship Id="rId91" Type="http://schemas.openxmlformats.org/officeDocument/2006/relationships/hyperlink" Target="https://drive.google.com/open?id=1GPZXrf_ZgEPgySReesDE4dYYkbEmVgbq&amp;usp=drive_fs" TargetMode="External"/><Relationship Id="rId90" Type="http://schemas.openxmlformats.org/officeDocument/2006/relationships/hyperlink" Target="mailto:joaofonseca88@gmail.com" TargetMode="External"/><Relationship Id="rId93" Type="http://schemas.openxmlformats.org/officeDocument/2006/relationships/hyperlink" Target="mailto:joaofonseca88@gmail.com" TargetMode="External"/><Relationship Id="rId92" Type="http://schemas.openxmlformats.org/officeDocument/2006/relationships/hyperlink" Target="https://docs.google.com/document/d/16IdL6Edi6p6o3Fm1nr1bPm4geNloOq7n3VGq9dyOeEg/edit?usp=sharing" TargetMode="External"/><Relationship Id="rId118" Type="http://schemas.openxmlformats.org/officeDocument/2006/relationships/hyperlink" Target="https://docs.google.com/document/d/1XNo0aB13sjOjPGjrdUfVYNBbJBiHGQSHc2vNEFHh-4o/edit?usp=sharing" TargetMode="External"/><Relationship Id="rId117" Type="http://schemas.openxmlformats.org/officeDocument/2006/relationships/hyperlink" Target="https://drive.google.com/open?id=1tuvLC7qaPl99Yk-gd9zL8YGPZgxWLLIF&amp;usp=drive_copy" TargetMode="External"/><Relationship Id="rId116" Type="http://schemas.openxmlformats.org/officeDocument/2006/relationships/hyperlink" Target="mailto:joaofonseca88@gmail.com" TargetMode="External"/><Relationship Id="rId115" Type="http://schemas.openxmlformats.org/officeDocument/2006/relationships/hyperlink" Target="https://drive.google.com/file/d/17y7-XgNdnmsztvQ4zbPJfVYsj8VsRotp/view?usp=drive_link" TargetMode="External"/><Relationship Id="rId119" Type="http://schemas.openxmlformats.org/officeDocument/2006/relationships/hyperlink" Target="mailto:joaofonseca88@gmail.com" TargetMode="External"/><Relationship Id="rId15" Type="http://schemas.openxmlformats.org/officeDocument/2006/relationships/hyperlink" Target="https://drive.google.com/open?id=12EmoTZhKZ6co8wwgkGGJmyECLeFTo9e-&amp;usp=drive_copy" TargetMode="External"/><Relationship Id="rId110" Type="http://schemas.openxmlformats.org/officeDocument/2006/relationships/hyperlink" Target="https://docs.google.com/document/d/1Pzh7JW-dWCoVSMNeohjdsD2pY99pFSSJplheGdLyTEk/edit?usp=sharing" TargetMode="External"/><Relationship Id="rId14" Type="http://schemas.openxmlformats.org/officeDocument/2006/relationships/hyperlink" Target="mailto:joaofonseca88@gmail.com" TargetMode="External"/><Relationship Id="rId17" Type="http://schemas.openxmlformats.org/officeDocument/2006/relationships/hyperlink" Target="mailto:joaofonseca88@gmail.com" TargetMode="External"/><Relationship Id="rId16" Type="http://schemas.openxmlformats.org/officeDocument/2006/relationships/hyperlink" Target="https://docs.google.com/document/d/1gUI_qELqte9qMeRpOL7YZhWYFuwjlI2wgZ58_V5EQXw/edit?usp=sharing" TargetMode="External"/><Relationship Id="rId19" Type="http://schemas.openxmlformats.org/officeDocument/2006/relationships/hyperlink" Target="https://docs.google.com/document/d/1IbMNetbrxtKNHUC3Wc06Rb3eP4EfGa3cRN0kJkxkROc/edit?usp=sharing" TargetMode="External"/><Relationship Id="rId114" Type="http://schemas.openxmlformats.org/officeDocument/2006/relationships/hyperlink" Target="mailto:joaofonseca88@gmail.com" TargetMode="External"/><Relationship Id="rId18" Type="http://schemas.openxmlformats.org/officeDocument/2006/relationships/hyperlink" Target="https://drive.google.com/open?id=1ZuC9Ma21enXvueIjJTkiv-uBDOBgV_Mo&amp;usp=drive_copy" TargetMode="External"/><Relationship Id="rId113" Type="http://schemas.openxmlformats.org/officeDocument/2006/relationships/hyperlink" Target="https://docs.google.com/document/d/1u1mgkOkf7EyRgrbRKedB7vDSwi6ec62vAo6HNrA2It8/edit?usp=sharing" TargetMode="External"/><Relationship Id="rId112" Type="http://schemas.openxmlformats.org/officeDocument/2006/relationships/hyperlink" Target="https://drive.google.com/file/d/14lhi1eA3COMeMxqIVDKBPqhB5TPmmf-8/view?usp=drive_link" TargetMode="External"/><Relationship Id="rId111" Type="http://schemas.openxmlformats.org/officeDocument/2006/relationships/hyperlink" Target="mailto:joaofonseca88@gmail.com" TargetMode="External"/><Relationship Id="rId84" Type="http://schemas.openxmlformats.org/officeDocument/2006/relationships/hyperlink" Target="https://docs.google.com/document/d/1oyAKfVsAiEA9TxgXw-uDcn6vXkpqQtIAu-fgzRH3izg/edit?usp=sharing" TargetMode="External"/><Relationship Id="rId83" Type="http://schemas.openxmlformats.org/officeDocument/2006/relationships/hyperlink" Target="https://drive.google.com/file/d/1U8cnkfzSa0z1Rm6PlcxpymI8ZJCen4tg/view?usp=drive_link" TargetMode="External"/><Relationship Id="rId86" Type="http://schemas.openxmlformats.org/officeDocument/2006/relationships/hyperlink" Target="https://drive.google.com/file/d/1XxZAinmpdv3SFDFx2YS0U68mcdVVhtZT/view?usp=drive_link" TargetMode="External"/><Relationship Id="rId85" Type="http://schemas.openxmlformats.org/officeDocument/2006/relationships/hyperlink" Target="mailto:joaofonseca88@gmail.com" TargetMode="External"/><Relationship Id="rId88" Type="http://schemas.openxmlformats.org/officeDocument/2006/relationships/hyperlink" Target="https://drive.google.com/open?id=1wBt5JUtLbfDlwtc8ugDX1yzQPL0w2Xgo&amp;usp=drive_copy" TargetMode="External"/><Relationship Id="rId87" Type="http://schemas.openxmlformats.org/officeDocument/2006/relationships/hyperlink" Target="mailto:joaofonseca88@gmail.com" TargetMode="External"/><Relationship Id="rId89" Type="http://schemas.openxmlformats.org/officeDocument/2006/relationships/hyperlink" Target="https://docs.google.com/document/d/1c4cNQZbZhVgg3ktbW94_ks91g3rzzguoW5H07Y5iAQU/edit?usp=sharing" TargetMode="External"/><Relationship Id="rId80" Type="http://schemas.openxmlformats.org/officeDocument/2006/relationships/hyperlink" Target="https://drive.google.com/file/d/1-8hixeMO6b1KAWlGvdhINLzoJP4byqNQ/view?usp=drive_link" TargetMode="External"/><Relationship Id="rId82" Type="http://schemas.openxmlformats.org/officeDocument/2006/relationships/hyperlink" Target="mailto:joaofonseca88@gmail.com" TargetMode="External"/><Relationship Id="rId81" Type="http://schemas.openxmlformats.org/officeDocument/2006/relationships/hyperlink" Target="https://docs.google.com/document/d/1JiDZ2UM7IC9OfhiC-NqQUfF9auYmCmpmdn3h9RPT1f4/edit?usp=sharing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document/d/1UvVmG2opss3leVI-ZyEs2RKvDmPeL42SvUlnTcXQ2Ac/edit?usp=sharing" TargetMode="External"/><Relationship Id="rId9" Type="http://schemas.openxmlformats.org/officeDocument/2006/relationships/hyperlink" Target="https://drive.google.com/open?id=1tfGbS8aSfxGDXqT_8XssJz6qMUfxJ1IU&amp;usp=drive_copy" TargetMode="External"/><Relationship Id="rId5" Type="http://schemas.openxmlformats.org/officeDocument/2006/relationships/hyperlink" Target="mailto:joaofonseca88@gmail.com" TargetMode="External"/><Relationship Id="rId6" Type="http://schemas.openxmlformats.org/officeDocument/2006/relationships/hyperlink" Target="https://drive.google.com/open?id=1KkJOUXD12h-F5b9tqQTNiiaDxJvCJoo8&amp;usp=drive_copy" TargetMode="External"/><Relationship Id="rId7" Type="http://schemas.openxmlformats.org/officeDocument/2006/relationships/hyperlink" Target="https://docs.google.com/document/d/1nbBXTTn6wEy5b8yJbbqoC6ELHXQAFtPEJXaBhGCm1VM/edit?usp=sharing" TargetMode="External"/><Relationship Id="rId8" Type="http://schemas.openxmlformats.org/officeDocument/2006/relationships/hyperlink" Target="mailto:joaofonseca88@gmail.com" TargetMode="External"/><Relationship Id="rId73" Type="http://schemas.openxmlformats.org/officeDocument/2006/relationships/hyperlink" Target="mailto:joaofonseca88@gmail.com" TargetMode="External"/><Relationship Id="rId72" Type="http://schemas.openxmlformats.org/officeDocument/2006/relationships/hyperlink" Target="https://docs.google.com/presentation/d/1nkbH5jNchRaLqAtTT92kPBV88HzZxJUjF27xgaMmtxg/edit?usp=sharing" TargetMode="External"/><Relationship Id="rId75" Type="http://schemas.openxmlformats.org/officeDocument/2006/relationships/hyperlink" Target="https://docs.google.com/presentation/d/1sDumJq0aSS74X2vOOAtqcPA46JA7tysZ9SJLJq--Qic/edit?usp=sharing" TargetMode="External"/><Relationship Id="rId74" Type="http://schemas.openxmlformats.org/officeDocument/2006/relationships/hyperlink" Target="https://drive.google.com/file/d/160uqdgg7HYnI9PegK64Xl01zXLp2j-W5/view?usp=drive_link" TargetMode="External"/><Relationship Id="rId77" Type="http://schemas.openxmlformats.org/officeDocument/2006/relationships/hyperlink" Target="https://drive.google.com/file/d/1x28xMSW0JoFdYLRfFyMweM_wfPhuIDCJ/view?usp=drive_link" TargetMode="External"/><Relationship Id="rId76" Type="http://schemas.openxmlformats.org/officeDocument/2006/relationships/hyperlink" Target="mailto:joaofonseca88@gmail.com" TargetMode="External"/><Relationship Id="rId79" Type="http://schemas.openxmlformats.org/officeDocument/2006/relationships/hyperlink" Target="mailto:joaofonseca88@gmail.com" TargetMode="External"/><Relationship Id="rId78" Type="http://schemas.openxmlformats.org/officeDocument/2006/relationships/hyperlink" Target="https://docs.google.com/presentation/d/18RyH4AH6m4h0q_d6i4eiBynJxjLL_PIVfK704rbqQPw/edit?usp=sharing" TargetMode="External"/><Relationship Id="rId71" Type="http://schemas.openxmlformats.org/officeDocument/2006/relationships/hyperlink" Target="https://drive.google.com/file/d/1UyoMVhxPvhqdNajR9BN550bZWdOITSzR/view?usp=drive_link" TargetMode="External"/><Relationship Id="rId70" Type="http://schemas.openxmlformats.org/officeDocument/2006/relationships/hyperlink" Target="mailto:joaofonseca88@gmail.com" TargetMode="External"/><Relationship Id="rId62" Type="http://schemas.openxmlformats.org/officeDocument/2006/relationships/hyperlink" Target="https://drive.google.com/open?id=1aS9c_1QVz45Yz6cgx1vk4xKpVQo9f56X&amp;usp=drive_copy" TargetMode="External"/><Relationship Id="rId61" Type="http://schemas.openxmlformats.org/officeDocument/2006/relationships/hyperlink" Target="mailto:joaofonseca88@gmail.com" TargetMode="External"/><Relationship Id="rId64" Type="http://schemas.openxmlformats.org/officeDocument/2006/relationships/hyperlink" Target="mailto:joaofonseca88@gmail.com" TargetMode="External"/><Relationship Id="rId63" Type="http://schemas.openxmlformats.org/officeDocument/2006/relationships/hyperlink" Target="https://docs.google.com/document/d/15DnDsawrgqDOIWszKhqGwMbXFtaIaVBwPS4vMTypY0Y/edit?usp=sharing" TargetMode="External"/><Relationship Id="rId66" Type="http://schemas.openxmlformats.org/officeDocument/2006/relationships/hyperlink" Target="https://docs.google.com/presentation/d/1DBpVfA_psWFX9yDUO_k7sNcUJKn_I3zB6UrwQ5OVEp0/edit?usp=sharing" TargetMode="External"/><Relationship Id="rId65" Type="http://schemas.openxmlformats.org/officeDocument/2006/relationships/hyperlink" Target="https://drive.google.com/open?id=1o-20PfagEcpDSm8NXJ0ZS8SqkFDo_10Z&amp;usp=drive_copy" TargetMode="External"/><Relationship Id="rId68" Type="http://schemas.openxmlformats.org/officeDocument/2006/relationships/hyperlink" Target="https://drive.google.com/file/d/1oNC3yUlX6CwwYNb9FZ3-2Ioy9xulqmLw/view?usp=drive_link" TargetMode="External"/><Relationship Id="rId67" Type="http://schemas.openxmlformats.org/officeDocument/2006/relationships/hyperlink" Target="mailto:joaofonseca88@gmail.com" TargetMode="External"/><Relationship Id="rId60" Type="http://schemas.openxmlformats.org/officeDocument/2006/relationships/hyperlink" Target="https://docs.google.com/document/d/1lgSZmMEsm1Cnxwf1FEMRC7TQdj6zZnoR0oKensZ8mfk/edit?usp=sharing" TargetMode="External"/><Relationship Id="rId69" Type="http://schemas.openxmlformats.org/officeDocument/2006/relationships/hyperlink" Target="https://docs.google.com/presentation/d/1__oiQri-Vnr3HwckJeyyYckvXuZSC4_9-2PlvrgJLQw/edit?usp=sharing" TargetMode="External"/><Relationship Id="rId51" Type="http://schemas.openxmlformats.org/officeDocument/2006/relationships/hyperlink" Target="https://docs.google.com/document/d/1JEurFGy7MGpPfNwKDJH3wo15t5MK2D4FSedu9kFet2s/edit?usp=sharing" TargetMode="External"/><Relationship Id="rId50" Type="http://schemas.openxmlformats.org/officeDocument/2006/relationships/hyperlink" Target="https://drive.google.com/open?id=1LbdglwNY3R65Mk9TawFK4GeUdG_lG77V&amp;usp=drive_fs" TargetMode="External"/><Relationship Id="rId53" Type="http://schemas.openxmlformats.org/officeDocument/2006/relationships/hyperlink" Target="https://drive.google.com/open?id=1Njwc3_z-lyV_VIuOb8w4i3FYHjrdem9N&amp;usp=drive_copy" TargetMode="External"/><Relationship Id="rId52" Type="http://schemas.openxmlformats.org/officeDocument/2006/relationships/hyperlink" Target="mailto:joaofonseca88@gmail.com" TargetMode="External"/><Relationship Id="rId55" Type="http://schemas.openxmlformats.org/officeDocument/2006/relationships/hyperlink" Target="mailto:joaofonseca88@gmail.com" TargetMode="External"/><Relationship Id="rId54" Type="http://schemas.openxmlformats.org/officeDocument/2006/relationships/hyperlink" Target="https://docs.google.com/document/d/1bbVlO34pFIq-Su98NQLg0K-eHm7-y4Qwj-1crn99TKE/edit?usp=sharing" TargetMode="External"/><Relationship Id="rId57" Type="http://schemas.openxmlformats.org/officeDocument/2006/relationships/hyperlink" Target="https://docs.google.com/document/d/1GisVOoCMZIpisM7NQ27hkaYzYlzCRKczQEugFVv0q7A/edit?usp=sharing" TargetMode="External"/><Relationship Id="rId56" Type="http://schemas.openxmlformats.org/officeDocument/2006/relationships/hyperlink" Target="https://drive.google.com/file/d/11iZbJIVfztmaPMeqc54dmfXqVoj7wVI7/view?usp=drive_link" TargetMode="External"/><Relationship Id="rId59" Type="http://schemas.openxmlformats.org/officeDocument/2006/relationships/hyperlink" Target="https://drive.google.com/file/d/1lHToCMK6Y8QgvfzDHjT3hfSFdWiLqOd9/view?usp=drive_link" TargetMode="External"/><Relationship Id="rId58" Type="http://schemas.openxmlformats.org/officeDocument/2006/relationships/hyperlink" Target="mailto:joaofonseca88@gmail.co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joaofonseca88@gmail.com" TargetMode="External"/><Relationship Id="rId42" Type="http://schemas.openxmlformats.org/officeDocument/2006/relationships/hyperlink" Target="https://docs.google.com/presentation/d/1p3rCDdIygHbQTw_CdzWj3yFaNzpxhRgAC1-f6MH0AnM/edit?usp=sharing" TargetMode="External"/><Relationship Id="rId41" Type="http://schemas.openxmlformats.org/officeDocument/2006/relationships/hyperlink" Target="https://drive.google.com/file/d/19iTvELC2fiYaQqLEr5onoBUuvnhJAEY8/view?usp=drive_link" TargetMode="External"/><Relationship Id="rId44" Type="http://schemas.openxmlformats.org/officeDocument/2006/relationships/hyperlink" Target="https://drive.google.com/file/d/1mQouFpAT8KfzaIb-c3iyqV1cfnz0yvTL/view?usp=drive_link" TargetMode="External"/><Relationship Id="rId43" Type="http://schemas.openxmlformats.org/officeDocument/2006/relationships/hyperlink" Target="mailto:joaofonseca88@gmail.com" TargetMode="External"/><Relationship Id="rId46" Type="http://schemas.openxmlformats.org/officeDocument/2006/relationships/hyperlink" Target="mailto:joaofonseca88@gmail.com" TargetMode="External"/><Relationship Id="rId45" Type="http://schemas.openxmlformats.org/officeDocument/2006/relationships/hyperlink" Target="https://docs.google.com/presentation/d/1Uyh-SrB80N7gmUUIDcl3jTuT-dJoAQBE9kprkPhvoFw/edit?usp=sharing" TargetMode="External"/><Relationship Id="rId107" Type="http://schemas.openxmlformats.org/officeDocument/2006/relationships/hyperlink" Target="https://drive.google.com/file/d/1iGhpdUW1b7NL8k__V6l04iJjricTX7MH/view?usp=drive_link" TargetMode="External"/><Relationship Id="rId106" Type="http://schemas.openxmlformats.org/officeDocument/2006/relationships/hyperlink" Target="mailto:joaofonseca88@gmail.com" TargetMode="External"/><Relationship Id="rId105" Type="http://schemas.openxmlformats.org/officeDocument/2006/relationships/hyperlink" Target="https://drive.google.com/open?id=1vm4iUckL7BqL_Xdb1eXzuozz6kCvPDI-&amp;usp=drive_fs" TargetMode="External"/><Relationship Id="rId104" Type="http://schemas.openxmlformats.org/officeDocument/2006/relationships/hyperlink" Target="mailto:joaofonseca88@gmail.com" TargetMode="External"/><Relationship Id="rId109" Type="http://schemas.openxmlformats.org/officeDocument/2006/relationships/hyperlink" Target="mailto:joaofonseca88@gmail.com" TargetMode="External"/><Relationship Id="rId108" Type="http://schemas.openxmlformats.org/officeDocument/2006/relationships/hyperlink" Target="https://docs.google.com/document/d/1jJh3W1Uq6MAYZyOIW_mOOBHu_aKzKagH6X4m7AQJZUk/edit?usp=sharing" TargetMode="External"/><Relationship Id="rId48" Type="http://schemas.openxmlformats.org/officeDocument/2006/relationships/hyperlink" Target="https://docs.google.com/document/d/1AcenOKbP4H40IngRXK4C2JsxFIol0OfVmF_O8_NwBrU/edit?usp=sharing" TargetMode="External"/><Relationship Id="rId47" Type="http://schemas.openxmlformats.org/officeDocument/2006/relationships/hyperlink" Target="https://drive.google.com/file/d/1Mug4EOMspuyyt5kYobTj6-ByYxa_xI5f/view?usp=drive_link" TargetMode="External"/><Relationship Id="rId49" Type="http://schemas.openxmlformats.org/officeDocument/2006/relationships/hyperlink" Target="mailto:joaofonseca88@gmail.com" TargetMode="External"/><Relationship Id="rId103" Type="http://schemas.openxmlformats.org/officeDocument/2006/relationships/hyperlink" Target="https://docs.google.com/document/d/11sRwSuzNrsjvwu-9ru3e0P2gWuD7m2qDXeFVbYqx2lU/edit?usp=sharing" TargetMode="External"/><Relationship Id="rId102" Type="http://schemas.openxmlformats.org/officeDocument/2006/relationships/hyperlink" Target="https://drive.google.com/open?id=1UWPhyIXfL-oI8LPfnJSUJUScDbjutgE9&amp;usp=drive_fs" TargetMode="External"/><Relationship Id="rId101" Type="http://schemas.openxmlformats.org/officeDocument/2006/relationships/hyperlink" Target="mailto:joaofonseca88@gmail.com" TargetMode="External"/><Relationship Id="rId100" Type="http://schemas.openxmlformats.org/officeDocument/2006/relationships/hyperlink" Target="https://docs.google.com/document/d/1GDhr5O6jV1okTujBclqBVgg9PnOjW1huqaU1i3vqUO0/edit?usp=sharing" TargetMode="External"/><Relationship Id="rId31" Type="http://schemas.openxmlformats.org/officeDocument/2006/relationships/hyperlink" Target="mailto:joaofonseca88@gmail.com" TargetMode="External"/><Relationship Id="rId30" Type="http://schemas.openxmlformats.org/officeDocument/2006/relationships/hyperlink" Target="https://docs.google.com/document/d/12l8kghh1dVrjp8et-nVBCdTwbmKnZywqArfDJcfc7bQ/edit?usp=sharing" TargetMode="External"/><Relationship Id="rId33" Type="http://schemas.openxmlformats.org/officeDocument/2006/relationships/hyperlink" Target="https://docs.google.com/document/d/1irv3Rgq-xcal3yMDJpDN8xd9AnkVaz1azHRhBuqPnPY/edit?usp=sharing" TargetMode="External"/><Relationship Id="rId32" Type="http://schemas.openxmlformats.org/officeDocument/2006/relationships/hyperlink" Target="https://drive.google.com/open?id=1LSbW3k7xmXFDJe2854m_pKmyh_RbYhgm&amp;usp=drive_copy" TargetMode="External"/><Relationship Id="rId35" Type="http://schemas.openxmlformats.org/officeDocument/2006/relationships/hyperlink" Target="https://drive.google.com/open?id=1fOTHxTcNkvdt5Rs3a2sArjJegFNutoT1&amp;usp=drive_copy" TargetMode="External"/><Relationship Id="rId34" Type="http://schemas.openxmlformats.org/officeDocument/2006/relationships/hyperlink" Target="mailto:joaofonseca88@gmail.com" TargetMode="External"/><Relationship Id="rId37" Type="http://schemas.openxmlformats.org/officeDocument/2006/relationships/hyperlink" Target="mailto:joaofonseca88@gmail.com" TargetMode="External"/><Relationship Id="rId36" Type="http://schemas.openxmlformats.org/officeDocument/2006/relationships/hyperlink" Target="https://docs.google.com/document/d/1RrI_3bJ3O976Yx7atVQcvuuMUWdcHzJcknUAhkutjNk/edit?usp=sharing" TargetMode="External"/><Relationship Id="rId39" Type="http://schemas.openxmlformats.org/officeDocument/2006/relationships/hyperlink" Target="https://docs.google.com/presentation/d/15bX3HlfVUJwXa0WjjgtPIQLzM56pGRh5CQuyNwePM5s/edit?usp=sharing" TargetMode="External"/><Relationship Id="rId38" Type="http://schemas.openxmlformats.org/officeDocument/2006/relationships/hyperlink" Target="https://drive.google.com/open?id=1xmOGff1zgDr50Re8FTvnz92oPfHosdyv&amp;usp=drive_copy" TargetMode="External"/><Relationship Id="rId20" Type="http://schemas.openxmlformats.org/officeDocument/2006/relationships/hyperlink" Target="mailto:joaofonseca88@gmail.com" TargetMode="External"/><Relationship Id="rId22" Type="http://schemas.openxmlformats.org/officeDocument/2006/relationships/hyperlink" Target="https://docs.google.com/document/d/1_mtN52P01zMknkUwjDTMwMYSVtlK03G-9MuLKeLpq_8/edit?usp=sharing" TargetMode="External"/><Relationship Id="rId21" Type="http://schemas.openxmlformats.org/officeDocument/2006/relationships/hyperlink" Target="https://drive.google.com/file/d/17km6kE3tsmbvx7BDYCY-3ak14YStkbvf/view?usp=drive_link" TargetMode="External"/><Relationship Id="rId24" Type="http://schemas.openxmlformats.org/officeDocument/2006/relationships/hyperlink" Target="https://drive.google.com/open?id=1DFGEosAIs0DWCLIUxbVJPV1qQtWxBHST&amp;usp=drive_fs" TargetMode="External"/><Relationship Id="rId23" Type="http://schemas.openxmlformats.org/officeDocument/2006/relationships/hyperlink" Target="mailto:joaofonseca88@gmail.com" TargetMode="External"/><Relationship Id="rId26" Type="http://schemas.openxmlformats.org/officeDocument/2006/relationships/hyperlink" Target="https://drive.google.com/open?id=1lZiiGVJg-EyggT7b4uqGbXp009KpLd8V&amp;usp=drive_copy" TargetMode="External"/><Relationship Id="rId25" Type="http://schemas.openxmlformats.org/officeDocument/2006/relationships/hyperlink" Target="mailto:joaofonseca88@gmail.com" TargetMode="External"/><Relationship Id="rId28" Type="http://schemas.openxmlformats.org/officeDocument/2006/relationships/hyperlink" Target="mailto:joaofonseca88@gmail.com" TargetMode="External"/><Relationship Id="rId27" Type="http://schemas.openxmlformats.org/officeDocument/2006/relationships/hyperlink" Target="https://docs.google.com/document/d/14BI7L7q5D9P9VJI-VUVaO-iY1eQLtNISbKZL_okK4sc/edit?usp=sharing" TargetMode="External"/><Relationship Id="rId29" Type="http://schemas.openxmlformats.org/officeDocument/2006/relationships/hyperlink" Target="https://drive.google.com/open?id=1zUqNOi2_NMrNcCuEW_GWvNemJO_kVzyM&amp;usp=drive_fs" TargetMode="External"/><Relationship Id="rId95" Type="http://schemas.openxmlformats.org/officeDocument/2006/relationships/hyperlink" Target="mailto:joaofonseca88@gmail.com" TargetMode="External"/><Relationship Id="rId94" Type="http://schemas.openxmlformats.org/officeDocument/2006/relationships/hyperlink" Target="https://docs.google.com/presentation/d/1JEetQ-xOT2Q-idHGG2Hh6trQXhBD0nelts8iba9tULc/edit?usp=sharing" TargetMode="External"/><Relationship Id="rId97" Type="http://schemas.openxmlformats.org/officeDocument/2006/relationships/hyperlink" Target="https://docs.google.com/presentation/d/13DKlnvniXl-BlPARVRk7rtZSA6SEp3gExBsO9FYQ8cY/edit?usp=sharing" TargetMode="External"/><Relationship Id="rId96" Type="http://schemas.openxmlformats.org/officeDocument/2006/relationships/hyperlink" Target="https://drive.google.com/file/d/1vF968SFDS6J-t6CmuNq_XLtlb6Sa7PYh/view?usp=drive_link" TargetMode="External"/><Relationship Id="rId11" Type="http://schemas.openxmlformats.org/officeDocument/2006/relationships/hyperlink" Target="mailto:joaofonseca88@gmail.com" TargetMode="External"/><Relationship Id="rId99" Type="http://schemas.openxmlformats.org/officeDocument/2006/relationships/hyperlink" Target="https://drive.google.com/file/d/1QNLhnyg_1rDRB5OSH_lJ3DW7wO0zgw8w/view?usp=drive_link" TargetMode="External"/><Relationship Id="rId10" Type="http://schemas.openxmlformats.org/officeDocument/2006/relationships/hyperlink" Target="https://docs.google.com/document/d/16ejuFgVwrLiHUOXtOdXrJ3WPs1i6CGmViggCCDrnjiw/edit?usp=sharing" TargetMode="External"/><Relationship Id="rId98" Type="http://schemas.openxmlformats.org/officeDocument/2006/relationships/hyperlink" Target="mailto:joaofonseca88@gmail.com" TargetMode="External"/><Relationship Id="rId13" Type="http://schemas.openxmlformats.org/officeDocument/2006/relationships/hyperlink" Target="https://docs.google.com/presentation/d/1iRWRE2kXnmpEVzCkxM7N4YFt__fVwjbeViBL-OLtl2g/edit?usp=sharing" TargetMode="External"/><Relationship Id="rId12" Type="http://schemas.openxmlformats.org/officeDocument/2006/relationships/hyperlink" Target="https://drive.google.com/open?id=10rwj-sSoFQ5bpx6FcXp8NrQLvU4rTnKG&amp;usp=drive_copy" TargetMode="External"/><Relationship Id="rId91" Type="http://schemas.openxmlformats.org/officeDocument/2006/relationships/hyperlink" Target="https://docs.google.com/document/d/1TtjMXv5bGr0d5N9vAYes3BmNY7kkD5ENhyISkU38Mgg/edit?usp=sharing" TargetMode="External"/><Relationship Id="rId90" Type="http://schemas.openxmlformats.org/officeDocument/2006/relationships/hyperlink" Target="https://drive.google.com/open?id=13w2eOlYtLtWiy8cqyMM-ySjeDikGjJ5l&amp;usp=drive_copy" TargetMode="External"/><Relationship Id="rId93" Type="http://schemas.openxmlformats.org/officeDocument/2006/relationships/hyperlink" Target="https://drive.google.com/open?id=1Q1taGzp9fniUKjClXLk_pc6eHVNw3UxU&amp;usp=drive_copy" TargetMode="External"/><Relationship Id="rId92" Type="http://schemas.openxmlformats.org/officeDocument/2006/relationships/hyperlink" Target="mailto:joaofonseca88@gmail.com" TargetMode="External"/><Relationship Id="rId117" Type="http://schemas.openxmlformats.org/officeDocument/2006/relationships/table" Target="../tables/table4.xml"/><Relationship Id="rId115" Type="http://schemas.openxmlformats.org/officeDocument/2006/relationships/vmlDrawing" Target="../drawings/vmlDrawing3.vml"/><Relationship Id="rId15" Type="http://schemas.openxmlformats.org/officeDocument/2006/relationships/hyperlink" Target="https://drive.google.com/file/d/1yYmehiNm505Tot45ZbtiXrouUmOZYFSL/view?usp=drive_link" TargetMode="External"/><Relationship Id="rId110" Type="http://schemas.openxmlformats.org/officeDocument/2006/relationships/hyperlink" Target="https://drive.google.com/file/d/1uBY_vmWBrcucNC1KS-zhtpyEaP2MUbbu/view?usp=drive_link" TargetMode="External"/><Relationship Id="rId14" Type="http://schemas.openxmlformats.org/officeDocument/2006/relationships/hyperlink" Target="mailto:joaofonseca88@gmail.com" TargetMode="External"/><Relationship Id="rId17" Type="http://schemas.openxmlformats.org/officeDocument/2006/relationships/hyperlink" Target="mailto:joaofonseca88@gmail.com" TargetMode="External"/><Relationship Id="rId16" Type="http://schemas.openxmlformats.org/officeDocument/2006/relationships/hyperlink" Target="https://docs.google.com/presentation/d/1lkNrNC6fw3sn0YBqRqXEf-AnheDetfMevpWloC-KQIU/edit?usp=sharing" TargetMode="External"/><Relationship Id="rId19" Type="http://schemas.openxmlformats.org/officeDocument/2006/relationships/hyperlink" Target="https://docs.google.com/document/d/1fhix4A6bwaCWUARdbxAMUKT0AR1TfIYDkZJRXppNC34/edit?usp=sharing" TargetMode="External"/><Relationship Id="rId114" Type="http://schemas.openxmlformats.org/officeDocument/2006/relationships/drawing" Target="../drawings/drawing4.xml"/><Relationship Id="rId18" Type="http://schemas.openxmlformats.org/officeDocument/2006/relationships/hyperlink" Target="https://drive.google.com/file/d/1gEPAduBK7TKkj30klpSRf3zkFiUQhLE8/view?usp=drive_link" TargetMode="External"/><Relationship Id="rId113" Type="http://schemas.openxmlformats.org/officeDocument/2006/relationships/hyperlink" Target="https://drive.google.com/open?id=1R1Jv6CuoLPXSBiW4noczClEw0CysAIOB&amp;usp=drive_fs" TargetMode="External"/><Relationship Id="rId112" Type="http://schemas.openxmlformats.org/officeDocument/2006/relationships/hyperlink" Target="mailto:joaofonseca88@gmail.com" TargetMode="External"/><Relationship Id="rId111" Type="http://schemas.openxmlformats.org/officeDocument/2006/relationships/hyperlink" Target="https://docs.google.com/document/d/1jMeiuHBZnB3IbYqX6kqTP9WNZUqB9u8ZQuivdrxVhpk/edit?usp=sharing" TargetMode="External"/><Relationship Id="rId84" Type="http://schemas.openxmlformats.org/officeDocument/2006/relationships/hyperlink" Target="https://drive.google.com/file/d/131V4JGucjU5mc29gM76EtTJBVOyc_6ig/view?usp=drive_link" TargetMode="External"/><Relationship Id="rId83" Type="http://schemas.openxmlformats.org/officeDocument/2006/relationships/hyperlink" Target="mailto:joaofonseca88@gmail.com" TargetMode="External"/><Relationship Id="rId86" Type="http://schemas.openxmlformats.org/officeDocument/2006/relationships/hyperlink" Target="mailto:joaofonseca88@gmail.com" TargetMode="External"/><Relationship Id="rId85" Type="http://schemas.openxmlformats.org/officeDocument/2006/relationships/hyperlink" Target="https://docs.google.com/document/d/1hXJgOjU6eG3KpPtqRx55GKru5T-FbmkkSeGLYmK1Kn4/edit?usp=sharing" TargetMode="External"/><Relationship Id="rId88" Type="http://schemas.openxmlformats.org/officeDocument/2006/relationships/hyperlink" Target="https://docs.google.com/document/d/1MSUXNQOKY3oh62TTBBtHwWg69UB-nJ_RMnzbe0O2xxs/edit?usp=sharing" TargetMode="External"/><Relationship Id="rId87" Type="http://schemas.openxmlformats.org/officeDocument/2006/relationships/hyperlink" Target="https://drive.google.com/open?id=1bySFSawdPGSHlL4V1_e3fw2_UwdJtXfl&amp;usp=drive_fs" TargetMode="External"/><Relationship Id="rId89" Type="http://schemas.openxmlformats.org/officeDocument/2006/relationships/hyperlink" Target="mailto:joaofonseca88@gmail.com" TargetMode="External"/><Relationship Id="rId80" Type="http://schemas.openxmlformats.org/officeDocument/2006/relationships/hyperlink" Target="https://docs.google.com/document/d/1tsmPINiNRXCzZTtv1FkugBo1OjSHUOGSZFqUiolDsNU/edit?usp=sharing" TargetMode="External"/><Relationship Id="rId82" Type="http://schemas.openxmlformats.org/officeDocument/2006/relationships/hyperlink" Target="https://drive.google.com/open?id=1D-TfQWPJbJ4svFuDnp6lZrVlShZlQJOk&amp;usp=drive_fs" TargetMode="External"/><Relationship Id="rId81" Type="http://schemas.openxmlformats.org/officeDocument/2006/relationships/hyperlink" Target="mailto:joaofonseca88@gmail.com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ocs.google.com/document/d/1DmPmC2LS7DsoL7Tx1N7vYoajP1SPCah_npZ8fBt6A1U/edit?usp=sharing" TargetMode="External"/><Relationship Id="rId9" Type="http://schemas.openxmlformats.org/officeDocument/2006/relationships/hyperlink" Target="https://drive.google.com/open?id=1zVPtzb_deD_r2JqQc93cWfyGdebRxcwF&amp;usp=drive_copy" TargetMode="External"/><Relationship Id="rId5" Type="http://schemas.openxmlformats.org/officeDocument/2006/relationships/hyperlink" Target="mailto:joaofonseca88@gmail.com" TargetMode="External"/><Relationship Id="rId6" Type="http://schemas.openxmlformats.org/officeDocument/2006/relationships/hyperlink" Target="https://drive.google.com/open?id=1QBzsah9PXdrvXYm9RXAuP30mUUXp_n1j&amp;usp=drive_copy" TargetMode="External"/><Relationship Id="rId7" Type="http://schemas.openxmlformats.org/officeDocument/2006/relationships/hyperlink" Target="https://docs.google.com/document/d/1TKmqhUFetUMP-1K3GyrXQu-2iRDWNmGhIHW3L-lM0F0/edit?usp=sharing" TargetMode="External"/><Relationship Id="rId8" Type="http://schemas.openxmlformats.org/officeDocument/2006/relationships/hyperlink" Target="mailto:joaofonseca88@gmail.com" TargetMode="External"/><Relationship Id="rId73" Type="http://schemas.openxmlformats.org/officeDocument/2006/relationships/hyperlink" Target="https://drive.google.com/file/d/1fAowVxlTZoT36TYrMDv3eFwzTDgedzS6/view?usp=drive_link" TargetMode="External"/><Relationship Id="rId72" Type="http://schemas.openxmlformats.org/officeDocument/2006/relationships/hyperlink" Target="mailto:joaofonseca88@gmail.com" TargetMode="External"/><Relationship Id="rId75" Type="http://schemas.openxmlformats.org/officeDocument/2006/relationships/hyperlink" Target="mailto:joaofonseca88@gmail.com" TargetMode="External"/><Relationship Id="rId74" Type="http://schemas.openxmlformats.org/officeDocument/2006/relationships/hyperlink" Target="https://docs.google.com/presentation/d/1YhOcrWd_NmjGVfok-drI67eQo0VpUv73o42CaUUISmg/edit?usp=sharing" TargetMode="External"/><Relationship Id="rId77" Type="http://schemas.openxmlformats.org/officeDocument/2006/relationships/hyperlink" Target="https://docs.google.com/document/d/1HgDrx0UCAOGHd8e4CNMkDK0-hJpEF7dl7CFcWJLwDbA/edit?usp=sharing" TargetMode="External"/><Relationship Id="rId76" Type="http://schemas.openxmlformats.org/officeDocument/2006/relationships/hyperlink" Target="https://drive.google.com/file/d/1vT2erCtLKOjZlLGcPyFP564kAleNvRWb/view?usp=drive_link" TargetMode="External"/><Relationship Id="rId79" Type="http://schemas.openxmlformats.org/officeDocument/2006/relationships/hyperlink" Target="https://drive.google.com/open?id=1UWPhyIXfL-oI8LPfnJSUJUScDbjutgE9&amp;usp=drive_fs" TargetMode="External"/><Relationship Id="rId78" Type="http://schemas.openxmlformats.org/officeDocument/2006/relationships/hyperlink" Target="mailto:joaofonseca88@gmail.com" TargetMode="External"/><Relationship Id="rId71" Type="http://schemas.openxmlformats.org/officeDocument/2006/relationships/hyperlink" Target="https://docs.google.com/presentation/d/1Rj3yRIyYkUYjfBTioYvSa0wF1zzcff_hJejPJb6qnXs/edit?usp=sharing" TargetMode="External"/><Relationship Id="rId70" Type="http://schemas.openxmlformats.org/officeDocument/2006/relationships/hyperlink" Target="https://drive.google.com/file/d/16A48SpXOPgUx-y0oCZhIuj4UDYDP-JBC/view?usp=drive_link" TargetMode="External"/><Relationship Id="rId62" Type="http://schemas.openxmlformats.org/officeDocument/2006/relationships/hyperlink" Target="https://docs.google.com/document/d/1as-b5tXaXWltJtO5hHYdsCvZPMkWDYBfnH78IwITAAE/edit?usp=sharing" TargetMode="External"/><Relationship Id="rId61" Type="http://schemas.openxmlformats.org/officeDocument/2006/relationships/hyperlink" Target="https://drive.google.com/open?id=1dmlXx760h0M5PG04CdB2FIvN22CoUyGZ&amp;usp=drive_copy" TargetMode="External"/><Relationship Id="rId64" Type="http://schemas.openxmlformats.org/officeDocument/2006/relationships/hyperlink" Target="https://drive.google.com/open?id=1OIy5anNTl-111-K8m16lUw1CatlhDFyc&amp;usp=drive_copy" TargetMode="External"/><Relationship Id="rId63" Type="http://schemas.openxmlformats.org/officeDocument/2006/relationships/hyperlink" Target="mailto:joaofonseca88@gmail.com" TargetMode="External"/><Relationship Id="rId66" Type="http://schemas.openxmlformats.org/officeDocument/2006/relationships/hyperlink" Target="mailto:joaofonseca88@gmail.com" TargetMode="External"/><Relationship Id="rId65" Type="http://schemas.openxmlformats.org/officeDocument/2006/relationships/hyperlink" Target="https://docs.google.com/document/d/1GgvglYUJaMEhRx6mVIv1YugMp__W_uvD4oiRmWyAFuQ/edit?usp=sharing" TargetMode="External"/><Relationship Id="rId68" Type="http://schemas.openxmlformats.org/officeDocument/2006/relationships/hyperlink" Target="https://docs.google.com/presentation/d/1lPN2qXjP-j-CER8jN_yIu5WkMZBkSYn62JgTH8OysnY/edit?usp=sharing" TargetMode="External"/><Relationship Id="rId67" Type="http://schemas.openxmlformats.org/officeDocument/2006/relationships/hyperlink" Target="https://drive.google.com/open?id=13eckN9JuJNru9MUSbEBaNZyTtizwx4VM&amp;usp=drive_copy" TargetMode="External"/><Relationship Id="rId60" Type="http://schemas.openxmlformats.org/officeDocument/2006/relationships/hyperlink" Target="mailto:joaofonseca88@gmail.com" TargetMode="External"/><Relationship Id="rId69" Type="http://schemas.openxmlformats.org/officeDocument/2006/relationships/hyperlink" Target="mailto:joaofonseca88@gmail.com" TargetMode="External"/><Relationship Id="rId51" Type="http://schemas.openxmlformats.org/officeDocument/2006/relationships/hyperlink" Target="https://docs.google.com/document/d/1RJDH0EG-Es3-kKBY50dMH4wXY5TvzxPajai7vSc5UWg/edit?usp=sharing" TargetMode="External"/><Relationship Id="rId50" Type="http://schemas.openxmlformats.org/officeDocument/2006/relationships/hyperlink" Target="https://drive.google.com/open?id=1SyqmEP6K6bNjXeVu-5Qky4Stk3KI_gA_&amp;usp=drive_fs" TargetMode="External"/><Relationship Id="rId53" Type="http://schemas.openxmlformats.org/officeDocument/2006/relationships/hyperlink" Target="https://drive.google.com/open?id=1HI87jEze7DXQo6CtVK2GyH3k5VscNTlw&amp;usp=drive_fs" TargetMode="External"/><Relationship Id="rId52" Type="http://schemas.openxmlformats.org/officeDocument/2006/relationships/hyperlink" Target="mailto:joaofonseca88@gmail.com" TargetMode="External"/><Relationship Id="rId55" Type="http://schemas.openxmlformats.org/officeDocument/2006/relationships/hyperlink" Target="https://drive.google.com/open?id=1YpJJC1DOhw0eJoiZ4oKsGr33oEE5iGnC&amp;usp=drive_copy" TargetMode="External"/><Relationship Id="rId54" Type="http://schemas.openxmlformats.org/officeDocument/2006/relationships/hyperlink" Target="mailto:joaofonseca88@gmail.com" TargetMode="External"/><Relationship Id="rId57" Type="http://schemas.openxmlformats.org/officeDocument/2006/relationships/hyperlink" Target="mailto:joaofonseca88@gmail.com" TargetMode="External"/><Relationship Id="rId56" Type="http://schemas.openxmlformats.org/officeDocument/2006/relationships/hyperlink" Target="https://docs.google.com/document/d/1UJgCfdLhRa6dLiZ9nOOtAPVS1uVoVQSMqkPDPAjWpzo/edit?usp=sharing" TargetMode="External"/><Relationship Id="rId59" Type="http://schemas.openxmlformats.org/officeDocument/2006/relationships/hyperlink" Target="https://docs.google.com/document/d/1iMQFIhFbyTaKh9xYIQyS2iCWv12h1bnTVsKNm_8WU_I/edit?usp=sharing" TargetMode="External"/><Relationship Id="rId58" Type="http://schemas.openxmlformats.org/officeDocument/2006/relationships/hyperlink" Target="https://drive.google.com/open?id=1Wyfd_T-5i_3j78OW0Ycx20fQWVvo83zW&amp;usp=drive_f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R2_6RHhcni_ENV7mLvKTM2Lp07_bch2Igo1BZEdeeCk/edit?usp=sharing" TargetMode="External"/><Relationship Id="rId42" Type="http://schemas.openxmlformats.org/officeDocument/2006/relationships/hyperlink" Target="https://docs.google.com/document/d/1hFxDLd4iI7Qx-8wLiwz1UsinbySELwBt2eei1TuHQ8g/edit?usp=sharing" TargetMode="External"/><Relationship Id="rId41" Type="http://schemas.openxmlformats.org/officeDocument/2006/relationships/hyperlink" Target="mailto:joaofonseca88@gmail.com" TargetMode="External"/><Relationship Id="rId44" Type="http://schemas.openxmlformats.org/officeDocument/2006/relationships/hyperlink" Target="https://drive.google.com/open?id=1SkLKgnBKeMdlLGqQ2G9xJik0UDXKQuOs&amp;usp=drive_fs" TargetMode="External"/><Relationship Id="rId43" Type="http://schemas.openxmlformats.org/officeDocument/2006/relationships/hyperlink" Target="mailto:joaofonseca88@gmail.com" TargetMode="External"/><Relationship Id="rId45" Type="http://schemas.openxmlformats.org/officeDocument/2006/relationships/drawing" Target="../drawings/drawing5.xml"/><Relationship Id="rId47" Type="http://schemas.openxmlformats.org/officeDocument/2006/relationships/table" Target="../tables/table5.xml"/><Relationship Id="rId31" Type="http://schemas.openxmlformats.org/officeDocument/2006/relationships/hyperlink" Target="https://drive.google.com/open?id=1RQjOnvuT4EgK63yetbuksfmV1aZVyXWl&amp;usp=drive_fs" TargetMode="External"/><Relationship Id="rId30" Type="http://schemas.openxmlformats.org/officeDocument/2006/relationships/hyperlink" Target="mailto:joaofonseca88@gmail.com" TargetMode="External"/><Relationship Id="rId33" Type="http://schemas.openxmlformats.org/officeDocument/2006/relationships/hyperlink" Target="mailto:joaofonseca88@gmail.com" TargetMode="External"/><Relationship Id="rId32" Type="http://schemas.openxmlformats.org/officeDocument/2006/relationships/hyperlink" Target="https://docs.google.com/presentation/d/16aI4AaBFWINJ0rb427UNemiiXVSD3yhmM2xUr1djAAA/edit?usp=sharing" TargetMode="External"/><Relationship Id="rId35" Type="http://schemas.openxmlformats.org/officeDocument/2006/relationships/hyperlink" Target="https://docs.google.com/document/d/11KLS2Fbm_oznJuDJI439ztSUHny2DJIUtoy1U_YgZMI/edit?usp=sharing" TargetMode="External"/><Relationship Id="rId34" Type="http://schemas.openxmlformats.org/officeDocument/2006/relationships/hyperlink" Target="https://drive.google.com/open?id=1lvHQdR5FME3KeSUi9XIGTX8ZRyQ2Jigz&amp;usp=drive_fs" TargetMode="External"/><Relationship Id="rId37" Type="http://schemas.openxmlformats.org/officeDocument/2006/relationships/hyperlink" Target="https://docs.google.com/document/d/11xcJPCWJU5MpmCzjsLSv-rKnh8xt3LMNrkyeIHjkIzI/edit?usp=sharing" TargetMode="External"/><Relationship Id="rId36" Type="http://schemas.openxmlformats.org/officeDocument/2006/relationships/hyperlink" Target="mailto:joaofonseca88@gmail.com" TargetMode="External"/><Relationship Id="rId39" Type="http://schemas.openxmlformats.org/officeDocument/2006/relationships/hyperlink" Target="mailto:joaofonseca88@gmail.com" TargetMode="External"/><Relationship Id="rId38" Type="http://schemas.openxmlformats.org/officeDocument/2006/relationships/hyperlink" Target="mailto:joaofonseca88@gmail.com" TargetMode="External"/><Relationship Id="rId20" Type="http://schemas.openxmlformats.org/officeDocument/2006/relationships/hyperlink" Target="https://docs.google.com/document/d/1rUnDrP7r7PSGYYdf5EKZwEg3KGQF47g_ZVMD2qCd6Tw/edit?usp=sharing" TargetMode="External"/><Relationship Id="rId22" Type="http://schemas.openxmlformats.org/officeDocument/2006/relationships/hyperlink" Target="https://docs.google.com/document/d/1nxGmFDIhjpBJgOCKbdwoiQ_L3QST0wa44u90tNEOOkc/edit?usp=sharing" TargetMode="External"/><Relationship Id="rId21" Type="http://schemas.openxmlformats.org/officeDocument/2006/relationships/hyperlink" Target="mailto:joaofonseca88@gmail.com" TargetMode="External"/><Relationship Id="rId24" Type="http://schemas.openxmlformats.org/officeDocument/2006/relationships/hyperlink" Target="https://docs.google.com/document/d/1ERwoJ1qxzWVpGT3kgHpyKDNVC4sHl_cryMce212GIkA/edit?usp=sharing" TargetMode="External"/><Relationship Id="rId23" Type="http://schemas.openxmlformats.org/officeDocument/2006/relationships/hyperlink" Target="mailto:joaofonseca88@gmail.com" TargetMode="External"/><Relationship Id="rId26" Type="http://schemas.openxmlformats.org/officeDocument/2006/relationships/hyperlink" Target="https://docs.google.com/presentation/d/1Rn8qPUKSVk_D2r_2D-R1zbGEVH544eYfuTFYgT4uUvs/edit?usp=sharing" TargetMode="External"/><Relationship Id="rId25" Type="http://schemas.openxmlformats.org/officeDocument/2006/relationships/hyperlink" Target="mailto:joaofonseca88@gmail.com" TargetMode="External"/><Relationship Id="rId28" Type="http://schemas.openxmlformats.org/officeDocument/2006/relationships/hyperlink" Target="https://drive.google.com/open?id=1XX2i9r40vX8QafebwlbI2lidBjDdNU09&amp;usp=drive_fs" TargetMode="External"/><Relationship Id="rId27" Type="http://schemas.openxmlformats.org/officeDocument/2006/relationships/hyperlink" Target="mailto:joaofonseca88@gmail.com" TargetMode="External"/><Relationship Id="rId29" Type="http://schemas.openxmlformats.org/officeDocument/2006/relationships/hyperlink" Target="https://docs.google.com/presentation/d/1H2wXFldWSSczEzyDfQnWttwwDOvH-HeexaIytwKQZ-I/edit?usp=sharing" TargetMode="External"/><Relationship Id="rId11" Type="http://schemas.openxmlformats.org/officeDocument/2006/relationships/hyperlink" Target="mailto:joaofonseca88@gmail.com" TargetMode="External"/><Relationship Id="rId10" Type="http://schemas.openxmlformats.org/officeDocument/2006/relationships/hyperlink" Target="https://docs.google.com/presentation/d/1zHC5CccjFRoOespMTCrMOwA5FlmqjSxhkoW0za18FyQ/edit?usp=sharing" TargetMode="External"/><Relationship Id="rId13" Type="http://schemas.openxmlformats.org/officeDocument/2006/relationships/hyperlink" Target="https://docs.google.com/presentation/d/1JavBg83T9iI9FJpsqj41mR7AgktDzFYjNkuynb96K3U/edit?usp=sharing" TargetMode="External"/><Relationship Id="rId12" Type="http://schemas.openxmlformats.org/officeDocument/2006/relationships/hyperlink" Target="https://drive.google.com/file/d/1gUhLPALx0EN2QvTFv9qm2peYJxo_7Szh/view?usp=drive_link" TargetMode="External"/><Relationship Id="rId15" Type="http://schemas.openxmlformats.org/officeDocument/2006/relationships/hyperlink" Target="https://drive.google.com/open?id=1KIaYQXdTUI7chL9Gq1b6dfL_kGpSjh7H&amp;usp=drive_fs" TargetMode="External"/><Relationship Id="rId14" Type="http://schemas.openxmlformats.org/officeDocument/2006/relationships/hyperlink" Target="mailto:joaofonseca88@gmail.com" TargetMode="External"/><Relationship Id="rId17" Type="http://schemas.openxmlformats.org/officeDocument/2006/relationships/hyperlink" Target="mailto:joaofonseca88@gmail.com" TargetMode="External"/><Relationship Id="rId16" Type="http://schemas.openxmlformats.org/officeDocument/2006/relationships/hyperlink" Target="https://docs.google.com/document/d/1khGUPwRzYkWP3jlXRdDuhsaVorQOEohijHgnHZ8Ribs/edit?usp=sharing" TargetMode="External"/><Relationship Id="rId19" Type="http://schemas.openxmlformats.org/officeDocument/2006/relationships/hyperlink" Target="mailto:joaofonseca88@gmail.com" TargetMode="External"/><Relationship Id="rId18" Type="http://schemas.openxmlformats.org/officeDocument/2006/relationships/hyperlink" Target="https://docs.google.com/document/d/1RNxYpLC838K4jx13isqXVcyF_wbpIUcTDbS1taYY-2o/edit?usp=sharing" TargetMode="External"/><Relationship Id="rId1" Type="http://schemas.openxmlformats.org/officeDocument/2006/relationships/hyperlink" Target="https://docs.google.com/document/d/1G1xegmHUe1TmEWO20Dz9Hs55w2qGUINEiu3b_tCN6Qo/edit?usp=sharing" TargetMode="External"/><Relationship Id="rId2" Type="http://schemas.openxmlformats.org/officeDocument/2006/relationships/hyperlink" Target="mailto:joaofonseca88@gmail.com" TargetMode="External"/><Relationship Id="rId3" Type="http://schemas.openxmlformats.org/officeDocument/2006/relationships/hyperlink" Target="https://docs.google.com/document/d/1kAk1J2pUG850PFc2eKLaZVQssyIxklYj-CSuikzEVZs/edit?usp=sharing" TargetMode="External"/><Relationship Id="rId4" Type="http://schemas.openxmlformats.org/officeDocument/2006/relationships/hyperlink" Target="mailto:joaofonseca88@gmail.com" TargetMode="External"/><Relationship Id="rId9" Type="http://schemas.openxmlformats.org/officeDocument/2006/relationships/hyperlink" Target="https://drive.google.com/file/d/1_ZcDh3nteNZwKiZDFQ2jm3JPDrJdTRfU/view?usp=drive_link" TargetMode="External"/><Relationship Id="rId5" Type="http://schemas.openxmlformats.org/officeDocument/2006/relationships/hyperlink" Target="https://docs.google.com/document/d/1E74EVjhW_LEzNbMIoCBdpDnB8B6bT8UNzh9aNaA3XvI/edit?usp=sharing" TargetMode="External"/><Relationship Id="rId6" Type="http://schemas.openxmlformats.org/officeDocument/2006/relationships/hyperlink" Target="mailto:joaofonseca88@gmail.com" TargetMode="External"/><Relationship Id="rId7" Type="http://schemas.openxmlformats.org/officeDocument/2006/relationships/hyperlink" Target="https://docs.google.com/presentation/d/1yk6gy7rujk7fx7ZFFB2qinlptpawDyBJ04QCpNivx6Y/edit?usp=sharing" TargetMode="External"/><Relationship Id="rId8" Type="http://schemas.openxmlformats.org/officeDocument/2006/relationships/hyperlink" Target="mailto:joaofonseca88@gmail.com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6KaHbUm6EoHziOcEh03iTM_v_r8Mqcvp&amp;usp=drive_fs" TargetMode="External"/><Relationship Id="rId42" Type="http://schemas.openxmlformats.org/officeDocument/2006/relationships/hyperlink" Target="mailto:joaofonseca88@gmail.com" TargetMode="External"/><Relationship Id="rId41" Type="http://schemas.openxmlformats.org/officeDocument/2006/relationships/hyperlink" Target="https://docs.google.com/document/d/1dorqxZwLk73uYzQlD4n4jIO1POteyvuRWL0D5zDUqpg/edit?usp=sharing" TargetMode="External"/><Relationship Id="rId44" Type="http://schemas.openxmlformats.org/officeDocument/2006/relationships/hyperlink" Target="mailto:joaofonseca88@gmail.com" TargetMode="External"/><Relationship Id="rId43" Type="http://schemas.openxmlformats.org/officeDocument/2006/relationships/hyperlink" Target="https://docs.google.com/document/d/1iDw7mcVw0eyMmA94f7uaw8z_Zylpvje6m0R2uOj6Jow/edit?usp=sharing" TargetMode="External"/><Relationship Id="rId46" Type="http://schemas.openxmlformats.org/officeDocument/2006/relationships/hyperlink" Target="https://docs.google.com/document/d/1uJueHr226sLZTTss0DaYjUFbaM_bWMY4Dm2z9mLaNK0/edit?usp=sharing" TargetMode="External"/><Relationship Id="rId45" Type="http://schemas.openxmlformats.org/officeDocument/2006/relationships/hyperlink" Target="mailto:joaofonseca88@gmail.com" TargetMode="External"/><Relationship Id="rId48" Type="http://schemas.openxmlformats.org/officeDocument/2006/relationships/hyperlink" Target="https://docs.google.com/document/d/1vpVkUPUBq4vLegF0SmCLLt2dV8V3_IEcDI4-DGhGV2A/edit?usp=sharing" TargetMode="External"/><Relationship Id="rId47" Type="http://schemas.openxmlformats.org/officeDocument/2006/relationships/hyperlink" Target="mailto:joaofonseca88@gmail.com" TargetMode="External"/><Relationship Id="rId49" Type="http://schemas.openxmlformats.org/officeDocument/2006/relationships/hyperlink" Target="mailto:joaofonseca88@gmail.com" TargetMode="External"/><Relationship Id="rId31" Type="http://schemas.openxmlformats.org/officeDocument/2006/relationships/hyperlink" Target="https://docs.google.com/document/d/1VfnkkwVbQYcRuig1mQjqeQaLOZf7S7afzJ5qaS1m1cY/edit?usp=sharing" TargetMode="External"/><Relationship Id="rId30" Type="http://schemas.openxmlformats.org/officeDocument/2006/relationships/hyperlink" Target="mailto:joaofonseca88@gmail.com" TargetMode="External"/><Relationship Id="rId33" Type="http://schemas.openxmlformats.org/officeDocument/2006/relationships/hyperlink" Target="mailto:joaofonseca88@gmail.com" TargetMode="External"/><Relationship Id="rId32" Type="http://schemas.openxmlformats.org/officeDocument/2006/relationships/hyperlink" Target="mailto:joaofonseca88@gmail.com" TargetMode="External"/><Relationship Id="rId35" Type="http://schemas.openxmlformats.org/officeDocument/2006/relationships/hyperlink" Target="mailto:joaofonseca88@gmail.com" TargetMode="External"/><Relationship Id="rId34" Type="http://schemas.openxmlformats.org/officeDocument/2006/relationships/hyperlink" Target="https://docs.google.com/document/d/1G-yReBBbFFlaNGbv_pAif8WDs0EpYFdkSTmdmp-hA3o/edit?usp=sharing" TargetMode="External"/><Relationship Id="rId37" Type="http://schemas.openxmlformats.org/officeDocument/2006/relationships/hyperlink" Target="mailto:joaofonseca88@gmail.com" TargetMode="External"/><Relationship Id="rId36" Type="http://schemas.openxmlformats.org/officeDocument/2006/relationships/hyperlink" Target="https://docs.google.com/document/d/1Zu7lVcvnG6osnmTZEhkV62qMRm47GOtEdfohcNXPBmw/edit?usp=sharing" TargetMode="External"/><Relationship Id="rId39" Type="http://schemas.openxmlformats.org/officeDocument/2006/relationships/hyperlink" Target="mailto:joaofonseca88@gmail.com" TargetMode="External"/><Relationship Id="rId38" Type="http://schemas.openxmlformats.org/officeDocument/2006/relationships/hyperlink" Target="https://docs.google.com/presentation/d/1uRDUDZYP9-sDjf017Pl50F8ZsiYtTEKjhRPhx1-MFRo/edit?usp=sharing" TargetMode="External"/><Relationship Id="rId20" Type="http://schemas.openxmlformats.org/officeDocument/2006/relationships/hyperlink" Target="mailto:joaofonseca88@gmail.com" TargetMode="External"/><Relationship Id="rId22" Type="http://schemas.openxmlformats.org/officeDocument/2006/relationships/hyperlink" Target="mailto:joaofonseca88@gmail.com" TargetMode="External"/><Relationship Id="rId21" Type="http://schemas.openxmlformats.org/officeDocument/2006/relationships/hyperlink" Target="https://docs.google.com/document/d/1_8xHP5vRp1jkKNrQ4vwHcmy6mQvUgCXGUZFP__6Oh9s/edit?usp=sharing" TargetMode="External"/><Relationship Id="rId24" Type="http://schemas.openxmlformats.org/officeDocument/2006/relationships/hyperlink" Target="mailto:joaofonseca88@gmail.com" TargetMode="External"/><Relationship Id="rId23" Type="http://schemas.openxmlformats.org/officeDocument/2006/relationships/hyperlink" Target="https://docs.google.com/presentation/d/15Hjbu2DOykvPXe0YvICP2zosn16tKtgC6_bfGHTwmg8/edit?usp=sharing" TargetMode="External"/><Relationship Id="rId26" Type="http://schemas.openxmlformats.org/officeDocument/2006/relationships/hyperlink" Target="https://docs.google.com/presentation/d/14ufQicXaczx1fyqqggDIrIACKf5NQXhif1mv_I5QiWw/edit?usp=sharing" TargetMode="External"/><Relationship Id="rId25" Type="http://schemas.openxmlformats.org/officeDocument/2006/relationships/hyperlink" Target="https://drive.google.com/open?id=1Z2ykrwrHouI6dY1P2IhEEoxXbykjNszE&amp;usp=drive_fs" TargetMode="External"/><Relationship Id="rId28" Type="http://schemas.openxmlformats.org/officeDocument/2006/relationships/hyperlink" Target="https://drive.google.com/open?id=1zfh6BhtPJnxFjj85H0rXrdOxJ1ld8zRn&amp;usp=drive_fs" TargetMode="External"/><Relationship Id="rId27" Type="http://schemas.openxmlformats.org/officeDocument/2006/relationships/hyperlink" Target="mailto:joaofonseca88@gmail.com" TargetMode="External"/><Relationship Id="rId29" Type="http://schemas.openxmlformats.org/officeDocument/2006/relationships/hyperlink" Target="https://docs.google.com/document/d/1i0rM_p74AleQIvlsS-hqO1HYPb1jdiQOKto9kmHumDQ/edit?usp=sharing" TargetMode="External"/><Relationship Id="rId11" Type="http://schemas.openxmlformats.org/officeDocument/2006/relationships/hyperlink" Target="https://docs.google.com/document/d/1OcS0XO2Y72fBRhQDJriAEkzoVZW8-VJHB0_1WGBSrR4/edit?usp=sharing" TargetMode="External"/><Relationship Id="rId10" Type="http://schemas.openxmlformats.org/officeDocument/2006/relationships/hyperlink" Target="https://drive.google.com/open?id=14q7KWXaLdakqezwUMWyYmB14qa-b_B51&amp;usp=drive_fs" TargetMode="External"/><Relationship Id="rId13" Type="http://schemas.openxmlformats.org/officeDocument/2006/relationships/hyperlink" Target="https://docs.google.com/document/d/1LHFGQ0aX47okTt3tlnpO49a_Gbe86divpTWFbzATWr8/edit?usp=sharing" TargetMode="External"/><Relationship Id="rId12" Type="http://schemas.openxmlformats.org/officeDocument/2006/relationships/hyperlink" Target="mailto:joaofonseca88@gmail.com" TargetMode="External"/><Relationship Id="rId15" Type="http://schemas.openxmlformats.org/officeDocument/2006/relationships/hyperlink" Target="mailto:joaofonseca88@gmail.com" TargetMode="External"/><Relationship Id="rId14" Type="http://schemas.openxmlformats.org/officeDocument/2006/relationships/hyperlink" Target="mailto:joaofonseca88@gmail.com" TargetMode="External"/><Relationship Id="rId17" Type="http://schemas.openxmlformats.org/officeDocument/2006/relationships/hyperlink" Target="mailto:joaofonseca88@gmail.com" TargetMode="External"/><Relationship Id="rId16" Type="http://schemas.openxmlformats.org/officeDocument/2006/relationships/hyperlink" Target="https://docs.google.com/document/d/1FTAruAhGB4Y3RW14qBddgFUky9eXEKm9LpzrJI7eOgA/edit?usp=sharing" TargetMode="External"/><Relationship Id="rId19" Type="http://schemas.openxmlformats.org/officeDocument/2006/relationships/hyperlink" Target="https://docs.google.com/document/d/1lqu7zD1B8_lGobRKaUHbA1Yvid-Y0oimqDo6ZlbBJIk/edit?usp=sharing" TargetMode="External"/><Relationship Id="rId18" Type="http://schemas.openxmlformats.org/officeDocument/2006/relationships/hyperlink" Target="https://drive.google.com/open?id=1aiqpZ4JUPgVNB6dR0PJsdKuzMNntr7dh&amp;usp=drive_fs" TargetMode="External"/><Relationship Id="rId1" Type="http://schemas.openxmlformats.org/officeDocument/2006/relationships/hyperlink" Target="https://docs.google.com/document/d/1fhsg_aMSHUfcMZUycAMDoMSn17fu0R2z9X72dqSUEQ4/edit?usp=sharing" TargetMode="External"/><Relationship Id="rId2" Type="http://schemas.openxmlformats.org/officeDocument/2006/relationships/hyperlink" Target="mailto:joaofonseca88@gmail.com" TargetMode="External"/><Relationship Id="rId3" Type="http://schemas.openxmlformats.org/officeDocument/2006/relationships/hyperlink" Target="https://docs.google.com/document/d/1FPw3cHgmMC2rvhYwT02BLXGTHnm0B8JI_X4cZhYbCuY/edit?usp=sharing" TargetMode="External"/><Relationship Id="rId4" Type="http://schemas.openxmlformats.org/officeDocument/2006/relationships/hyperlink" Target="mailto:joaofonseca88@gmail.com" TargetMode="External"/><Relationship Id="rId9" Type="http://schemas.openxmlformats.org/officeDocument/2006/relationships/hyperlink" Target="mailto:joaofonseca88@gmail.com" TargetMode="External"/><Relationship Id="rId5" Type="http://schemas.openxmlformats.org/officeDocument/2006/relationships/hyperlink" Target="https://docs.google.com/presentation/d/1cqqHcAPsWLeAAILzQ-CZPwrozr8GGBOaBzONBXuaPec/edit?usp=sharing" TargetMode="External"/><Relationship Id="rId6" Type="http://schemas.openxmlformats.org/officeDocument/2006/relationships/hyperlink" Target="mailto:joaofonseca88@gmail.com" TargetMode="External"/><Relationship Id="rId7" Type="http://schemas.openxmlformats.org/officeDocument/2006/relationships/hyperlink" Target="https://drive.google.com/open?id=1r8-bUlMu1y7aB80Jfabxn21IkF9831uK&amp;usp=drive_fs" TargetMode="External"/><Relationship Id="rId8" Type="http://schemas.openxmlformats.org/officeDocument/2006/relationships/hyperlink" Target="https://docs.google.com/presentation/d/1H2DoK8IsWCJjViO4-dPmTb75In1PrxSY-M5NygbwqqY/edit?usp=sharing" TargetMode="External"/><Relationship Id="rId50" Type="http://schemas.openxmlformats.org/officeDocument/2006/relationships/drawing" Target="../drawings/drawing6.xml"/><Relationship Id="rId52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presentation/d/1cqjC0ZX5Gyh_kizXN-SJ5iuKsAcunvNSWvzvfvhKYcw/edit?usp=sharing" TargetMode="External"/><Relationship Id="rId42" Type="http://schemas.openxmlformats.org/officeDocument/2006/relationships/hyperlink" Target="https://drive.google.com/open?id=1W-d6WYM0sSUz99Hfs7S7F-pDTwKXQYhw&amp;usp=drive_fs" TargetMode="External"/><Relationship Id="rId41" Type="http://schemas.openxmlformats.org/officeDocument/2006/relationships/hyperlink" Target="mailto:joaofonseca88@gmail.com" TargetMode="External"/><Relationship Id="rId44" Type="http://schemas.openxmlformats.org/officeDocument/2006/relationships/hyperlink" Target="mailto:joaofonseca88@gmail.com" TargetMode="External"/><Relationship Id="rId43" Type="http://schemas.openxmlformats.org/officeDocument/2006/relationships/hyperlink" Target="https://docs.google.com/document/d/1fVzVqGHPpXAbFkQYravGUDL8Wehn7yojnWQd-v7RPpU/edit?usp=sharing" TargetMode="External"/><Relationship Id="rId46" Type="http://schemas.openxmlformats.org/officeDocument/2006/relationships/hyperlink" Target="mailto:joaofonseca88@gmail.com" TargetMode="External"/><Relationship Id="rId45" Type="http://schemas.openxmlformats.org/officeDocument/2006/relationships/hyperlink" Target="https://docs.google.com/document/d/1hMSMCg2JHh39zipjhTJEeM23mL-R2HIpWBGOb0A59-Y/edit?usp=sharing" TargetMode="External"/><Relationship Id="rId48" Type="http://schemas.openxmlformats.org/officeDocument/2006/relationships/hyperlink" Target="https://docs.google.com/document/d/1e0gcyY86803cbfg-u5QCot_CwNtyMyunYPYf5IWL_KI/edit?usp=sharing" TargetMode="External"/><Relationship Id="rId47" Type="http://schemas.openxmlformats.org/officeDocument/2006/relationships/hyperlink" Target="mailto:joaofonseca88@gmail.com" TargetMode="External"/><Relationship Id="rId49" Type="http://schemas.openxmlformats.org/officeDocument/2006/relationships/hyperlink" Target="mailto:joaofonseca88@gmail.com" TargetMode="External"/><Relationship Id="rId31" Type="http://schemas.openxmlformats.org/officeDocument/2006/relationships/hyperlink" Target="mailto:joaofonseca88@gmail.com" TargetMode="External"/><Relationship Id="rId30" Type="http://schemas.openxmlformats.org/officeDocument/2006/relationships/hyperlink" Target="https://docs.google.com/document/d/1UwwKQoh_0jVy7QgvPeOxa2Fgf-CqpSxAOb_Oab-0kh4/edit?usp=sharing" TargetMode="External"/><Relationship Id="rId33" Type="http://schemas.openxmlformats.org/officeDocument/2006/relationships/hyperlink" Target="mailto:joaofonseca88@gmail.com" TargetMode="External"/><Relationship Id="rId32" Type="http://schemas.openxmlformats.org/officeDocument/2006/relationships/hyperlink" Target="https://docs.google.com/document/d/1ewQ_Gd_y2ENh6_VbYWhHt_BHPPf7CCgYFpP1h-mfaM4/edit?usp=sharing" TargetMode="External"/><Relationship Id="rId35" Type="http://schemas.openxmlformats.org/officeDocument/2006/relationships/hyperlink" Target="mailto:joaofonseca88@gmail.com" TargetMode="External"/><Relationship Id="rId34" Type="http://schemas.openxmlformats.org/officeDocument/2006/relationships/hyperlink" Target="https://docs.google.com/presentation/d/1fNVkCYVngByk6Xj-deAJgIMfEY5gpiEruxLA0g4QVMM/edit?usp=sharing" TargetMode="External"/><Relationship Id="rId37" Type="http://schemas.openxmlformats.org/officeDocument/2006/relationships/hyperlink" Target="https://docs.google.com/presentation/d/1NkgNT5ho8eSYdKQmZDeIP4NoWSw3KCSKiMRfC6yIZUg/edit?usp=sharing" TargetMode="External"/><Relationship Id="rId36" Type="http://schemas.openxmlformats.org/officeDocument/2006/relationships/hyperlink" Target="https://drive.google.com/open?id=1IcDF1Tu-dcZS5SG6VIatzyoz3vDGZlX9&amp;usp=drive_fs" TargetMode="External"/><Relationship Id="rId39" Type="http://schemas.openxmlformats.org/officeDocument/2006/relationships/hyperlink" Target="https://drive.google.com/open?id=12triLBhT5KGYf3StD4CdYd9aXOkGoiCq&amp;usp=drive_fs" TargetMode="External"/><Relationship Id="rId38" Type="http://schemas.openxmlformats.org/officeDocument/2006/relationships/hyperlink" Target="mailto:joaofonseca88@gmail.com" TargetMode="External"/><Relationship Id="rId20" Type="http://schemas.openxmlformats.org/officeDocument/2006/relationships/hyperlink" Target="https://drive.google.com/open?id=1MvwW2J3MBOXIqwTURNxjnjzpy4QAa-wl&amp;usp=drive_fs" TargetMode="External"/><Relationship Id="rId22" Type="http://schemas.openxmlformats.org/officeDocument/2006/relationships/hyperlink" Target="mailto:joaofonseca88@gmail.com" TargetMode="External"/><Relationship Id="rId21" Type="http://schemas.openxmlformats.org/officeDocument/2006/relationships/hyperlink" Target="https://docs.google.com/document/d/1MoR6OOT6lwewSIFVY32n4NQmxJJmasTZzs40L3c8Or0/edit?usp=sharing" TargetMode="External"/><Relationship Id="rId24" Type="http://schemas.openxmlformats.org/officeDocument/2006/relationships/hyperlink" Target="mailto:joaofonseca88@gmail.com" TargetMode="External"/><Relationship Id="rId23" Type="http://schemas.openxmlformats.org/officeDocument/2006/relationships/hyperlink" Target="https://docs.google.com/document/d/1bBuMWSpH8W0TE6dA_y1Bqltzlx-PcgjxGc05hOFiYYY/edit?usp=sharing" TargetMode="External"/><Relationship Id="rId26" Type="http://schemas.openxmlformats.org/officeDocument/2006/relationships/hyperlink" Target="https://docs.google.com/document/d/1lx-k5j4CqrhOjXoVAnRlwMSgTXGmbU2yMUtIPWS2i4c/edit?usp=sharing" TargetMode="External"/><Relationship Id="rId25" Type="http://schemas.openxmlformats.org/officeDocument/2006/relationships/hyperlink" Target="mailto:joaofonseca88@gmail.com" TargetMode="External"/><Relationship Id="rId28" Type="http://schemas.openxmlformats.org/officeDocument/2006/relationships/hyperlink" Target="https://docs.google.com/document/d/1YIVGXlRmQ7PIM63HZvU_sv0PKnt3AH6wl03hLza6A0E/edit?usp=sharing" TargetMode="External"/><Relationship Id="rId27" Type="http://schemas.openxmlformats.org/officeDocument/2006/relationships/hyperlink" Target="mailto:joaofonseca88@gmail.com" TargetMode="External"/><Relationship Id="rId29" Type="http://schemas.openxmlformats.org/officeDocument/2006/relationships/hyperlink" Target="mailto:joaofonseca88@gmail.com" TargetMode="External"/><Relationship Id="rId11" Type="http://schemas.openxmlformats.org/officeDocument/2006/relationships/hyperlink" Target="https://drive.google.com/open?id=14nnJQWogNIt5U7bvfusgz6j-lTwIb92U&amp;usp=drive_fs" TargetMode="External"/><Relationship Id="rId10" Type="http://schemas.openxmlformats.org/officeDocument/2006/relationships/hyperlink" Target="mailto:joaofonseca88@gmail.com" TargetMode="External"/><Relationship Id="rId13" Type="http://schemas.openxmlformats.org/officeDocument/2006/relationships/hyperlink" Target="mailto:joaofonseca88@gmail.com" TargetMode="External"/><Relationship Id="rId12" Type="http://schemas.openxmlformats.org/officeDocument/2006/relationships/hyperlink" Target="https://docs.google.com/presentation/d/1icVddKjPucUywOwK1K3AG1-hi6Yb7YC2zzIpBOo-myM/edit?usp=sharing" TargetMode="External"/><Relationship Id="rId91" Type="http://schemas.openxmlformats.org/officeDocument/2006/relationships/drawing" Target="../drawings/drawing7.xml"/><Relationship Id="rId90" Type="http://schemas.openxmlformats.org/officeDocument/2006/relationships/hyperlink" Target="mailto:joaofonseca88@gmail.com" TargetMode="External"/><Relationship Id="rId93" Type="http://schemas.openxmlformats.org/officeDocument/2006/relationships/table" Target="../tables/table7.xml"/><Relationship Id="rId15" Type="http://schemas.openxmlformats.org/officeDocument/2006/relationships/hyperlink" Target="https://docs.google.com/presentation/d/1h4ytS7o1-mQe9IxE4tffgpAYf5d_WYCH4VLsFJKdoZU/edit?usp=sharing" TargetMode="External"/><Relationship Id="rId14" Type="http://schemas.openxmlformats.org/officeDocument/2006/relationships/hyperlink" Target="https://drive.google.com/open?id=1AaNbDbpJ-uPmQNcSiIY0oDPgOHAFMRCU&amp;usp=drive_fs" TargetMode="External"/><Relationship Id="rId17" Type="http://schemas.openxmlformats.org/officeDocument/2006/relationships/hyperlink" Target="https://drive.google.com/open?id=1fsHmu3qrD5zcUYZuWwp7nro5Et_N9fOx&amp;usp=drive_fs" TargetMode="External"/><Relationship Id="rId16" Type="http://schemas.openxmlformats.org/officeDocument/2006/relationships/hyperlink" Target="mailto:joaofonseca88@gmail.com" TargetMode="External"/><Relationship Id="rId19" Type="http://schemas.openxmlformats.org/officeDocument/2006/relationships/hyperlink" Target="mailto:joaofonseca88@gmail.com" TargetMode="External"/><Relationship Id="rId18" Type="http://schemas.openxmlformats.org/officeDocument/2006/relationships/hyperlink" Target="https://docs.google.com/presentation/d/1qT86T6_a5C2rKyw7N2R-W3W394EG46HHPbxWBnzfZyA/edit?usp=sharing" TargetMode="External"/><Relationship Id="rId84" Type="http://schemas.openxmlformats.org/officeDocument/2006/relationships/hyperlink" Target="mailto:joaofonseca88@gmail.com" TargetMode="External"/><Relationship Id="rId83" Type="http://schemas.openxmlformats.org/officeDocument/2006/relationships/hyperlink" Target="https://docs.google.com/document/d/1XAeDtLqsNK-UOMxW7sfu-IkVIkeBN-mnRfAydFaj5Sk/edit?usp=sharing" TargetMode="External"/><Relationship Id="rId86" Type="http://schemas.openxmlformats.org/officeDocument/2006/relationships/hyperlink" Target="mailto:joaofonseca88@gmail.com" TargetMode="External"/><Relationship Id="rId85" Type="http://schemas.openxmlformats.org/officeDocument/2006/relationships/hyperlink" Target="https://docs.google.com/document/d/1mkLXy6OiektSyLOeLHV5tDLJeje3pzKFen0MP1-cQN8/edit?usp=sharing" TargetMode="External"/><Relationship Id="rId88" Type="http://schemas.openxmlformats.org/officeDocument/2006/relationships/hyperlink" Target="mailto:joaofonseca88@gmail.com" TargetMode="External"/><Relationship Id="rId87" Type="http://schemas.openxmlformats.org/officeDocument/2006/relationships/hyperlink" Target="https://docs.google.com/document/d/1ccNXYqI4Y-iJYPGYFDQJMQavKFLnqhzxyj-88xmn60c/edit?usp=sharing" TargetMode="External"/><Relationship Id="rId89" Type="http://schemas.openxmlformats.org/officeDocument/2006/relationships/hyperlink" Target="https://docs.google.com/document/d/1wGCiresTrgEmOu8mcI2KTjhdTKD31a0CSDUTNHbh53w/edit?usp=sharing" TargetMode="External"/><Relationship Id="rId80" Type="http://schemas.openxmlformats.org/officeDocument/2006/relationships/hyperlink" Target="mailto:joaofonseca88@gmail.com" TargetMode="External"/><Relationship Id="rId82" Type="http://schemas.openxmlformats.org/officeDocument/2006/relationships/hyperlink" Target="mailto:joaofonseca88@gmail.com" TargetMode="External"/><Relationship Id="rId81" Type="http://schemas.openxmlformats.org/officeDocument/2006/relationships/hyperlink" Target="https://docs.google.com/presentation/d/12kOFgSgO-fqfcyEiT684l6klSbvHsTLEW1t_F94eHOs/edit?usp=sharing" TargetMode="External"/><Relationship Id="rId1" Type="http://schemas.openxmlformats.org/officeDocument/2006/relationships/hyperlink" Target="https://docs.google.com/document/d/1Yz3-WcE4USdbm2YwDC8W6NJ6j1IXjkmdWNVIj9bolSo/edit?usp=sharing" TargetMode="External"/><Relationship Id="rId2" Type="http://schemas.openxmlformats.org/officeDocument/2006/relationships/hyperlink" Target="mailto:joaofonseca88@gmail.com" TargetMode="External"/><Relationship Id="rId3" Type="http://schemas.openxmlformats.org/officeDocument/2006/relationships/hyperlink" Target="https://docs.google.com/document/d/1D8sPi99yscYPJlCtrJWAEsTJMsaQXRF2YkXqjog8vWE/edit?usp=sharing" TargetMode="External"/><Relationship Id="rId4" Type="http://schemas.openxmlformats.org/officeDocument/2006/relationships/hyperlink" Target="mailto:joaofonseca88@gmail.com" TargetMode="External"/><Relationship Id="rId9" Type="http://schemas.openxmlformats.org/officeDocument/2006/relationships/hyperlink" Target="https://docs.google.com/presentation/d/11k457b4eB0KZgO_mezZ75eF5onWF4Hd5Ime1VInMMcM/edit?usp=sharing" TargetMode="External"/><Relationship Id="rId5" Type="http://schemas.openxmlformats.org/officeDocument/2006/relationships/hyperlink" Target="https://docs.google.com/document/d/1JRT5SDUrfCpkjzHB5UJ4y06G07FrNJPnCG7zh4DVfdk/edit?usp=sharing" TargetMode="External"/><Relationship Id="rId6" Type="http://schemas.openxmlformats.org/officeDocument/2006/relationships/hyperlink" Target="mailto:joaofonseca88@gmail.com" TargetMode="External"/><Relationship Id="rId7" Type="http://schemas.openxmlformats.org/officeDocument/2006/relationships/hyperlink" Target="https://docs.google.com/document/d/1RritNAJdAgkChRo2CJH2OeS1hCjtkPwIRTI3fWSf8oc/edit?usp=sharing" TargetMode="External"/><Relationship Id="rId8" Type="http://schemas.openxmlformats.org/officeDocument/2006/relationships/hyperlink" Target="mailto:joaofonseca88@gmail.com" TargetMode="External"/><Relationship Id="rId73" Type="http://schemas.openxmlformats.org/officeDocument/2006/relationships/hyperlink" Target="https://docs.google.com/document/d/1dbC91q0rDlR9xkuwsznDk63OHNkOGzly32kYHa-Wjvk/edit?usp=sharing" TargetMode="External"/><Relationship Id="rId72" Type="http://schemas.openxmlformats.org/officeDocument/2006/relationships/hyperlink" Target="mailto:joaofonseca88@gmail.com" TargetMode="External"/><Relationship Id="rId75" Type="http://schemas.openxmlformats.org/officeDocument/2006/relationships/hyperlink" Target="https://docs.google.com/document/d/1v7GeWtDZiHOySdcihrW1q3DUi9S4jXIdHW3wp3DtYN8/edit?usp=sharing" TargetMode="External"/><Relationship Id="rId74" Type="http://schemas.openxmlformats.org/officeDocument/2006/relationships/hyperlink" Target="mailto:joaofonseca88@gmail.com" TargetMode="External"/><Relationship Id="rId77" Type="http://schemas.openxmlformats.org/officeDocument/2006/relationships/hyperlink" Target="https://docs.google.com/presentation/d/1zLeAVsnuhKjcLq6kbCnkTWzDSyMb3ncX9Q-1SeLCrHU/edit?usp=sharing" TargetMode="External"/><Relationship Id="rId76" Type="http://schemas.openxmlformats.org/officeDocument/2006/relationships/hyperlink" Target="mailto:joaofonseca88@gmail.com" TargetMode="External"/><Relationship Id="rId79" Type="http://schemas.openxmlformats.org/officeDocument/2006/relationships/hyperlink" Target="https://docs.google.com/presentation/d/1yBzyCOufsTHKfvkuKq5Ql2YEZDZIUYD6UB7FFSfogLc/edit?usp=sharing" TargetMode="External"/><Relationship Id="rId78" Type="http://schemas.openxmlformats.org/officeDocument/2006/relationships/hyperlink" Target="mailto:joaofonseca88@gmail.com" TargetMode="External"/><Relationship Id="rId71" Type="http://schemas.openxmlformats.org/officeDocument/2006/relationships/hyperlink" Target="https://docs.google.com/document/d/1KaXQ8dwm9di9Vt3c07qbScEL2j3N-Syup6dQeCCOprY/edit?usp=sharing" TargetMode="External"/><Relationship Id="rId70" Type="http://schemas.openxmlformats.org/officeDocument/2006/relationships/hyperlink" Target="mailto:joaofonseca88@gmail.com" TargetMode="External"/><Relationship Id="rId62" Type="http://schemas.openxmlformats.org/officeDocument/2006/relationships/hyperlink" Target="https://docs.google.com/presentation/d/1lLlqlj3qaMxb0nMpYe_5P3Sn9nK-pn_y_jh1zlZWvFM/edit?usp=sharing" TargetMode="External"/><Relationship Id="rId61" Type="http://schemas.openxmlformats.org/officeDocument/2006/relationships/hyperlink" Target="https://drive.google.com/open?id=1DxIBgeARgAantsrEVjxh3vFR5hvKnJWq&amp;usp=drive_fs" TargetMode="External"/><Relationship Id="rId64" Type="http://schemas.openxmlformats.org/officeDocument/2006/relationships/hyperlink" Target="https://docs.google.com/document/d/1k0wkaxqwJlkJJbMgbOVV_kGEbPoRrNVs88F9fSiQbxM/edit?usp=sharing" TargetMode="External"/><Relationship Id="rId63" Type="http://schemas.openxmlformats.org/officeDocument/2006/relationships/hyperlink" Target="mailto:joaofonseca88@gmail.com" TargetMode="External"/><Relationship Id="rId66" Type="http://schemas.openxmlformats.org/officeDocument/2006/relationships/hyperlink" Target="https://docs.google.com/document/d/1rcDnR4pqzXn3vAY62Bm-0WF2r2WWyzd0zdjxf_3uvCs/edit?usp=sharing" TargetMode="External"/><Relationship Id="rId65" Type="http://schemas.openxmlformats.org/officeDocument/2006/relationships/hyperlink" Target="mailto:joaofonseca88@gmail.com" TargetMode="External"/><Relationship Id="rId68" Type="http://schemas.openxmlformats.org/officeDocument/2006/relationships/hyperlink" Target="mailto:joaofonseca88@gmail.com" TargetMode="External"/><Relationship Id="rId67" Type="http://schemas.openxmlformats.org/officeDocument/2006/relationships/hyperlink" Target="mailto:joaofonseca88@gmail.com" TargetMode="External"/><Relationship Id="rId60" Type="http://schemas.openxmlformats.org/officeDocument/2006/relationships/hyperlink" Target="mailto:joaofonseca88@gmail.com" TargetMode="External"/><Relationship Id="rId69" Type="http://schemas.openxmlformats.org/officeDocument/2006/relationships/hyperlink" Target="https://docs.google.com/document/d/1Xsb66SYUzrkkdnZ-RhxHyWhzvsnwj8XqeAZhnuq_q3Q/edit?usp=sharing" TargetMode="External"/><Relationship Id="rId51" Type="http://schemas.openxmlformats.org/officeDocument/2006/relationships/hyperlink" Target="mailto:joaofonseca88@gmail.com" TargetMode="External"/><Relationship Id="rId50" Type="http://schemas.openxmlformats.org/officeDocument/2006/relationships/hyperlink" Target="https://docs.google.com/document/d/1sHgjhoLz-SFikwaTjVXi7zV8j8yfZcSBMuNGfU1SYR0/edit?usp=sharing" TargetMode="External"/><Relationship Id="rId53" Type="http://schemas.openxmlformats.org/officeDocument/2006/relationships/hyperlink" Target="mailto:joaofonseca88@gmail.com" TargetMode="External"/><Relationship Id="rId52" Type="http://schemas.openxmlformats.org/officeDocument/2006/relationships/hyperlink" Target="https://docs.google.com/document/d/11tNeWTCfNCyTo-8i_hV_9HBvsu0G9D7GuV_1l4Oi68c/edit?usp=sharing" TargetMode="External"/><Relationship Id="rId55" Type="http://schemas.openxmlformats.org/officeDocument/2006/relationships/hyperlink" Target="mailto:joaofonseca88@gmail.com" TargetMode="External"/><Relationship Id="rId54" Type="http://schemas.openxmlformats.org/officeDocument/2006/relationships/hyperlink" Target="https://docs.google.com/document/d/1IStAECy5SiZaaY8GgipKTxRVryqHQcBZQiFkoZH7dA4/edit?usp=sharing" TargetMode="External"/><Relationship Id="rId57" Type="http://schemas.openxmlformats.org/officeDocument/2006/relationships/hyperlink" Target="mailto:joaofonseca88@gmail.com" TargetMode="External"/><Relationship Id="rId56" Type="http://schemas.openxmlformats.org/officeDocument/2006/relationships/hyperlink" Target="https://docs.google.com/presentation/d/10N-JqHf9fQ9sl2aMYxhqll55TVKc5Ze2zl3vSLjdMHk/edit?usp=sharing" TargetMode="External"/><Relationship Id="rId59" Type="http://schemas.openxmlformats.org/officeDocument/2006/relationships/hyperlink" Target="https://docs.google.com/presentation/d/1XmbMjV7Xhf_vdWMPBELV2Au7JOwQNvSVDj6ZdVmCBTs/edit?usp=sharing" TargetMode="External"/><Relationship Id="rId58" Type="http://schemas.openxmlformats.org/officeDocument/2006/relationships/hyperlink" Target="https://drive.google.com/open?id=1qoKyOK_3nsU-EyiRYJkuHv1PTYHi4lKK&amp;usp=drive_fs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mailto:joaofonseca88@gmail.com" TargetMode="External"/><Relationship Id="rId42" Type="http://schemas.openxmlformats.org/officeDocument/2006/relationships/hyperlink" Target="mailto:joaofonseca88@gmail.com" TargetMode="External"/><Relationship Id="rId41" Type="http://schemas.openxmlformats.org/officeDocument/2006/relationships/hyperlink" Target="https://docs.google.com/presentation/d/1akLdSILS7DDnMZaYl_L9GfxvBVN7etWqhCaMF0hrsPM/edit?usp=sharing" TargetMode="External"/><Relationship Id="rId44" Type="http://schemas.openxmlformats.org/officeDocument/2006/relationships/hyperlink" Target="mailto:joaofonseca88@gmail.com" TargetMode="External"/><Relationship Id="rId43" Type="http://schemas.openxmlformats.org/officeDocument/2006/relationships/hyperlink" Target="https://docs.google.com/document/d/1xRU7n-UQC4PesnCNJcQ-cnkpBMlmZw98mwxSIODC2zA/edit?usp=sharing" TargetMode="External"/><Relationship Id="rId46" Type="http://schemas.openxmlformats.org/officeDocument/2006/relationships/hyperlink" Target="mailto:joaofonseca88@gmail.com" TargetMode="External"/><Relationship Id="rId45" Type="http://schemas.openxmlformats.org/officeDocument/2006/relationships/hyperlink" Target="https://docs.google.com/document/d/1Yqf425b5sc_iqh1R1NsNf7ZOdMK_ow7T8nBqOjtlbhg/edit?usp=sharing" TargetMode="External"/><Relationship Id="rId107" Type="http://schemas.openxmlformats.org/officeDocument/2006/relationships/hyperlink" Target="https://docs.google.com/presentation/d/1RLq_1zdTAzlze2R5Xjox_FGZti4GE9tTTphqYWBspHE/edit?usp=sharing" TargetMode="External"/><Relationship Id="rId106" Type="http://schemas.openxmlformats.org/officeDocument/2006/relationships/hyperlink" Target="mailto:joaofonseca88@gmail.com" TargetMode="External"/><Relationship Id="rId105" Type="http://schemas.openxmlformats.org/officeDocument/2006/relationships/hyperlink" Target="https://docs.google.com/presentation/d/1gKtf2LM-VMuDGzuuZeFClq9ClwoqLqcB3sL9YSkXKTU/edit?usp=sharing" TargetMode="External"/><Relationship Id="rId104" Type="http://schemas.openxmlformats.org/officeDocument/2006/relationships/hyperlink" Target="mailto:joaofonseca88@gmail.com" TargetMode="External"/><Relationship Id="rId109" Type="http://schemas.openxmlformats.org/officeDocument/2006/relationships/hyperlink" Target="https://docs.google.com/presentation/d/1cv_tTWItGE3UuKfhHHXSlYFsGCH0Gz-TFHl2PjVPMq0/edit?usp=sharing" TargetMode="External"/><Relationship Id="rId108" Type="http://schemas.openxmlformats.org/officeDocument/2006/relationships/hyperlink" Target="mailto:joaofonseca88@gmail.com" TargetMode="External"/><Relationship Id="rId48" Type="http://schemas.openxmlformats.org/officeDocument/2006/relationships/hyperlink" Target="mailto:joaofonseca88@gmail.com" TargetMode="External"/><Relationship Id="rId47" Type="http://schemas.openxmlformats.org/officeDocument/2006/relationships/hyperlink" Target="https://docs.google.com/document/d/1S4zGZZI7S_rLT8om40Ks_2BwRCl5wI-2pTo3kHui_S0/edit?usp=sharing" TargetMode="External"/><Relationship Id="rId49" Type="http://schemas.openxmlformats.org/officeDocument/2006/relationships/hyperlink" Target="https://docs.google.com/document/d/1pRLDH8_DcAZLN3le7E0ysH7x4KEYqtk5GGTaVN7OEZc/edit?usp=sharing" TargetMode="External"/><Relationship Id="rId103" Type="http://schemas.openxmlformats.org/officeDocument/2006/relationships/hyperlink" Target="https://docs.google.com/presentation/d/1ArdlYEJirSWnBkYnIcZ26zgRVB02GBGM_mqmtst1kQA/edit?usp=sharing" TargetMode="External"/><Relationship Id="rId102" Type="http://schemas.openxmlformats.org/officeDocument/2006/relationships/hyperlink" Target="mailto:joaofonseca88@gmail.com" TargetMode="External"/><Relationship Id="rId101" Type="http://schemas.openxmlformats.org/officeDocument/2006/relationships/hyperlink" Target="https://docs.google.com/document/d/1Y5SsZDpeaP1xoGAm0OH-J9SeBCVBUUHEs3_mXCk9NDQ/edit?usp=sharing" TargetMode="External"/><Relationship Id="rId100" Type="http://schemas.openxmlformats.org/officeDocument/2006/relationships/hyperlink" Target="mailto:joaofonseca88@gmail.com" TargetMode="External"/><Relationship Id="rId31" Type="http://schemas.openxmlformats.org/officeDocument/2006/relationships/hyperlink" Target="https://docs.google.com/document/d/1tUzwnwoN7vxsTflYtOZmO79Vzjz5DF4IuFvYV0cILZI/edit?usp=sharing" TargetMode="External"/><Relationship Id="rId30" Type="http://schemas.openxmlformats.org/officeDocument/2006/relationships/hyperlink" Target="mailto:joaofonseca88@gmail.com" TargetMode="External"/><Relationship Id="rId33" Type="http://schemas.openxmlformats.org/officeDocument/2006/relationships/hyperlink" Target="https://docs.google.com/document/d/1Uwt8Zz8D33H-86riOLu2O005Y8iIMSspP7uLE1x8jyg/edit?usp=sharing" TargetMode="External"/><Relationship Id="rId32" Type="http://schemas.openxmlformats.org/officeDocument/2006/relationships/hyperlink" Target="mailto:joaofonseca88@gmail.com" TargetMode="External"/><Relationship Id="rId35" Type="http://schemas.openxmlformats.org/officeDocument/2006/relationships/hyperlink" Target="https://docs.google.com/document/d/1IIc3ej7xQFhUmlDthYYlHQpozeInw4ktuw2WuWZhRQA/edit?usp=sharing" TargetMode="External"/><Relationship Id="rId34" Type="http://schemas.openxmlformats.org/officeDocument/2006/relationships/hyperlink" Target="mailto:joaofonseca88@gmail.com" TargetMode="External"/><Relationship Id="rId37" Type="http://schemas.openxmlformats.org/officeDocument/2006/relationships/hyperlink" Target="https://docs.google.com/presentation/d/1G_z6cpq-5kcvX5VdjIVA3Y7XZETxmjQGhoOPlhEXyMQ/edit?usp=sharing" TargetMode="External"/><Relationship Id="rId36" Type="http://schemas.openxmlformats.org/officeDocument/2006/relationships/hyperlink" Target="mailto:joaofonseca88@gmail.com" TargetMode="External"/><Relationship Id="rId39" Type="http://schemas.openxmlformats.org/officeDocument/2006/relationships/hyperlink" Target="https://docs.google.com/presentation/d/1d7zC597eg3OcR-7-0i4NhKSGi_3t2xeqn0lfxh8NloE/edit?usp=sharing" TargetMode="External"/><Relationship Id="rId38" Type="http://schemas.openxmlformats.org/officeDocument/2006/relationships/hyperlink" Target="mailto:joaofonseca88@gmail.com" TargetMode="External"/><Relationship Id="rId20" Type="http://schemas.openxmlformats.org/officeDocument/2006/relationships/hyperlink" Target="mailto:joaofonseca88@gmail.com" TargetMode="External"/><Relationship Id="rId22" Type="http://schemas.openxmlformats.org/officeDocument/2006/relationships/hyperlink" Target="mailto:joaofonseca88@gmail.com" TargetMode="External"/><Relationship Id="rId21" Type="http://schemas.openxmlformats.org/officeDocument/2006/relationships/hyperlink" Target="https://docs.google.com/presentation/d/1IeZx42UhIR7r_bmpOtfOY5_0yrFTkhhbh5Azf78LvMw/edit?usp=sharing" TargetMode="External"/><Relationship Id="rId24" Type="http://schemas.openxmlformats.org/officeDocument/2006/relationships/hyperlink" Target="mailto:joaofonseca88@gmail.com" TargetMode="External"/><Relationship Id="rId23" Type="http://schemas.openxmlformats.org/officeDocument/2006/relationships/hyperlink" Target="https://docs.google.com/presentation/d/1xUuPZroer_C9pRUWnUhuA4hMj_WoM0RbGt1ETMu7Yl8/edit?usp=sharing" TargetMode="External"/><Relationship Id="rId26" Type="http://schemas.openxmlformats.org/officeDocument/2006/relationships/hyperlink" Target="mailto:joaofonseca88@gmail.com" TargetMode="External"/><Relationship Id="rId25" Type="http://schemas.openxmlformats.org/officeDocument/2006/relationships/hyperlink" Target="https://docs.google.com/document/d/1soEplnSLYszsaAn_DTgaosvaIHrVRw_ZcCLZGzo8uQc/edit?usp=sharing" TargetMode="External"/><Relationship Id="rId120" Type="http://schemas.openxmlformats.org/officeDocument/2006/relationships/table" Target="../tables/table8.xml"/><Relationship Id="rId28" Type="http://schemas.openxmlformats.org/officeDocument/2006/relationships/hyperlink" Target="mailto:joaofonseca88@gmail.com" TargetMode="External"/><Relationship Id="rId27" Type="http://schemas.openxmlformats.org/officeDocument/2006/relationships/hyperlink" Target="https://docs.google.com/document/d/1t9GnBHig88fZ9Pm8QTFsY9792-EvByX28Nsx5kkp5XY/edit?usp=sharing" TargetMode="External"/><Relationship Id="rId29" Type="http://schemas.openxmlformats.org/officeDocument/2006/relationships/hyperlink" Target="https://docs.google.com/document/d/1bUIzb3BcisBSe7U_bVJkKjSE8s0scYekZtHschQKcP0/edit?usp=sharing" TargetMode="External"/><Relationship Id="rId95" Type="http://schemas.openxmlformats.org/officeDocument/2006/relationships/hyperlink" Target="https://docs.google.com/document/d/1DaN20HXDCg_WdvOZau5Z6fuoJzzOyajGQkL1pJwywuw/edit?usp=sharing" TargetMode="External"/><Relationship Id="rId94" Type="http://schemas.openxmlformats.org/officeDocument/2006/relationships/hyperlink" Target="mailto:joaofonseca88@gmail.com" TargetMode="External"/><Relationship Id="rId97" Type="http://schemas.openxmlformats.org/officeDocument/2006/relationships/hyperlink" Target="https://docs.google.com/document/d/1GfC42X4hmVlpJg7AAVMBmP-Cdg6eQL1Z-jg7qG5sk3Q/edit?usp=sharing" TargetMode="External"/><Relationship Id="rId96" Type="http://schemas.openxmlformats.org/officeDocument/2006/relationships/hyperlink" Target="mailto:joaofonseca88@gmail.com" TargetMode="External"/><Relationship Id="rId11" Type="http://schemas.openxmlformats.org/officeDocument/2006/relationships/hyperlink" Target="https://docs.google.com/document/d/1_0JnqvzAue5arztAdheFstY05rYYkC8zRHShhCkxbxw/edit?usp=sharing" TargetMode="External"/><Relationship Id="rId99" Type="http://schemas.openxmlformats.org/officeDocument/2006/relationships/hyperlink" Target="https://docs.google.com/document/d/1geyAiCdTAUN-eVA0ha9Dcx20EeGpGatBaAnW_80X26s/edit?usp=sharing" TargetMode="External"/><Relationship Id="rId10" Type="http://schemas.openxmlformats.org/officeDocument/2006/relationships/hyperlink" Target="mailto:joaofonseca88@gmail.com" TargetMode="External"/><Relationship Id="rId98" Type="http://schemas.openxmlformats.org/officeDocument/2006/relationships/hyperlink" Target="mailto:joaofonseca88@gmail.com" TargetMode="External"/><Relationship Id="rId13" Type="http://schemas.openxmlformats.org/officeDocument/2006/relationships/hyperlink" Target="https://docs.google.com/presentation/d/1NAND61ua5Appm5t124RhZHxiHWck8nqgdBB8n4BeT4c/edit?usp=sharing" TargetMode="External"/><Relationship Id="rId12" Type="http://schemas.openxmlformats.org/officeDocument/2006/relationships/hyperlink" Target="mailto:joaofonseca88@gmail.com" TargetMode="External"/><Relationship Id="rId91" Type="http://schemas.openxmlformats.org/officeDocument/2006/relationships/hyperlink" Target="https://docs.google.com/document/d/191yIvX8jmBsh1kSjDlnyvKxz6jOInrmmSQPEdBmK-Ao/edit?usp=sharing" TargetMode="External"/><Relationship Id="rId90" Type="http://schemas.openxmlformats.org/officeDocument/2006/relationships/hyperlink" Target="mailto:joaofonseca88@gmail.com" TargetMode="External"/><Relationship Id="rId93" Type="http://schemas.openxmlformats.org/officeDocument/2006/relationships/hyperlink" Target="https://docs.google.com/document/d/1Yjd3n2Sfc27rUdif688VAOSJkOU8xQiZXOIeOk7rZWk/edit?usp=sharing" TargetMode="External"/><Relationship Id="rId92" Type="http://schemas.openxmlformats.org/officeDocument/2006/relationships/hyperlink" Target="mailto:joaofonseca88@gmail.com" TargetMode="External"/><Relationship Id="rId118" Type="http://schemas.openxmlformats.org/officeDocument/2006/relationships/drawing" Target="../drawings/drawing8.xml"/><Relationship Id="rId117" Type="http://schemas.openxmlformats.org/officeDocument/2006/relationships/hyperlink" Target="mailto:joaofonseca88@gmail.com" TargetMode="External"/><Relationship Id="rId116" Type="http://schemas.openxmlformats.org/officeDocument/2006/relationships/hyperlink" Target="https://docs.google.com/document/d/1wdBrUdFl2_vnfeqcxOzULpL4b3MwqQFhoEKISOHBq2w/edit?usp=sharing" TargetMode="External"/><Relationship Id="rId115" Type="http://schemas.openxmlformats.org/officeDocument/2006/relationships/hyperlink" Target="mailto:joaofonseca88@gmail.com" TargetMode="External"/><Relationship Id="rId15" Type="http://schemas.openxmlformats.org/officeDocument/2006/relationships/hyperlink" Target="https://docs.google.com/presentation/d/12On2hgPXjfZPVd75DdUztRXS6xu1utkktZWPJAP56Ls/edit?usp=sharing" TargetMode="External"/><Relationship Id="rId110" Type="http://schemas.openxmlformats.org/officeDocument/2006/relationships/hyperlink" Target="mailto:joaofonseca88@gmail.com" TargetMode="External"/><Relationship Id="rId14" Type="http://schemas.openxmlformats.org/officeDocument/2006/relationships/hyperlink" Target="mailto:joaofonseca88@gmail.com" TargetMode="External"/><Relationship Id="rId17" Type="http://schemas.openxmlformats.org/officeDocument/2006/relationships/hyperlink" Target="https://docs.google.com/presentation/d/1V-j9Cp-XU2xa5-WZMKEgteAVMo33YnSq4ncUMPTXgOc/edit?usp=sharing" TargetMode="External"/><Relationship Id="rId16" Type="http://schemas.openxmlformats.org/officeDocument/2006/relationships/hyperlink" Target="mailto:joaofonseca88@gmail.com" TargetMode="External"/><Relationship Id="rId19" Type="http://schemas.openxmlformats.org/officeDocument/2006/relationships/hyperlink" Target="https://docs.google.com/presentation/d/141Nsm_dXjVASX6dPUSxMX_Y_Tjwb75Gm-8O798zxrN4/edit?usp=sharing" TargetMode="External"/><Relationship Id="rId114" Type="http://schemas.openxmlformats.org/officeDocument/2006/relationships/hyperlink" Target="mailto:joaofonseca88@gmail.com" TargetMode="External"/><Relationship Id="rId18" Type="http://schemas.openxmlformats.org/officeDocument/2006/relationships/hyperlink" Target="mailto:joaofonseca88@gmail.com" TargetMode="External"/><Relationship Id="rId113" Type="http://schemas.openxmlformats.org/officeDocument/2006/relationships/hyperlink" Target="https://docs.google.com/document/d/1JXnYdBBTzqes17U6WSBYzcsTHHklT8l8_EnrNttLkC8/edit?usp=sharing" TargetMode="External"/><Relationship Id="rId112" Type="http://schemas.openxmlformats.org/officeDocument/2006/relationships/hyperlink" Target="mailto:joaofonseca88@gmail.com" TargetMode="External"/><Relationship Id="rId111" Type="http://schemas.openxmlformats.org/officeDocument/2006/relationships/hyperlink" Target="https://docs.google.com/document/d/14WXWpgz9I96xYEf5FbcBl5wAgEe4vbA2uCxAu3Kammo/edit?usp=sharing" TargetMode="External"/><Relationship Id="rId84" Type="http://schemas.openxmlformats.org/officeDocument/2006/relationships/hyperlink" Target="mailto:joaofonseca88@gmail.com" TargetMode="External"/><Relationship Id="rId83" Type="http://schemas.openxmlformats.org/officeDocument/2006/relationships/hyperlink" Target="https://docs.google.com/presentation/d/1wKNER19baHTEJIGaHA6LcadnWWKo3V7ESz7PSckAlb0/edit?usp=sharing" TargetMode="External"/><Relationship Id="rId86" Type="http://schemas.openxmlformats.org/officeDocument/2006/relationships/hyperlink" Target="mailto:joaofonseca88@gmail.com" TargetMode="External"/><Relationship Id="rId85" Type="http://schemas.openxmlformats.org/officeDocument/2006/relationships/hyperlink" Target="https://docs.google.com/presentation/d/1ll1nf6uxWnx2KolQjFoNUEyiycU61UAKh3lRRJhKKsU/edit?usp=sharing" TargetMode="External"/><Relationship Id="rId88" Type="http://schemas.openxmlformats.org/officeDocument/2006/relationships/hyperlink" Target="mailto:joaofonseca88@gmail.com" TargetMode="External"/><Relationship Id="rId87" Type="http://schemas.openxmlformats.org/officeDocument/2006/relationships/hyperlink" Target="https://docs.google.com/presentation/d/1QA2E9xCnpxEqtbOeZ9cVnE6CFvQ1euHzsKIn2J05uro/edit?usp=sharing" TargetMode="External"/><Relationship Id="rId89" Type="http://schemas.openxmlformats.org/officeDocument/2006/relationships/hyperlink" Target="https://docs.google.com/presentation/d/1zlIPMgcXPcX-sCVmDf0mHgv7-f717phH6c-UzMuTkS0/edit?usp=sharing" TargetMode="External"/><Relationship Id="rId80" Type="http://schemas.openxmlformats.org/officeDocument/2006/relationships/hyperlink" Target="mailto:joaofonseca88@gmail.com" TargetMode="External"/><Relationship Id="rId82" Type="http://schemas.openxmlformats.org/officeDocument/2006/relationships/hyperlink" Target="mailto:joaofonseca88@gmail.com" TargetMode="External"/><Relationship Id="rId81" Type="http://schemas.openxmlformats.org/officeDocument/2006/relationships/hyperlink" Target="https://docs.google.com/presentation/d/1YDOPRHJUb4x-bB1Nn37w3ywEPaHzNcnmW6EpSRAyoxk/edit?usp=sharing" TargetMode="External"/><Relationship Id="rId1" Type="http://schemas.openxmlformats.org/officeDocument/2006/relationships/hyperlink" Target="https://docs.google.com/document/d/1piVPmkYVfvtgv1ijSF4xFGnQKS-2xhnjVh4JYB_jh8o/edit?usp=sharing" TargetMode="External"/><Relationship Id="rId2" Type="http://schemas.openxmlformats.org/officeDocument/2006/relationships/hyperlink" Target="mailto:joaofonseca88@gmail.com" TargetMode="External"/><Relationship Id="rId3" Type="http://schemas.openxmlformats.org/officeDocument/2006/relationships/hyperlink" Target="https://docs.google.com/document/d/163TVtCunWu2-HIhGzs1aUllR3qkSRC0w3ZWu98B4I3k/edit?usp=sharing" TargetMode="External"/><Relationship Id="rId4" Type="http://schemas.openxmlformats.org/officeDocument/2006/relationships/hyperlink" Target="mailto:joaofonseca88@gmail.com" TargetMode="External"/><Relationship Id="rId9" Type="http://schemas.openxmlformats.org/officeDocument/2006/relationships/hyperlink" Target="https://docs.google.com/document/d/1auVYgA5C8yyUxn-DG4f1OOZ3B7A75_MSwXjFxJhY_K8/edit?usp=sharing" TargetMode="External"/><Relationship Id="rId5" Type="http://schemas.openxmlformats.org/officeDocument/2006/relationships/hyperlink" Target="https://docs.google.com/document/d/12bHbC0-YH_wan1w2ZoKVqy7GR-h7ZDfMIWymmCJ9S-w/edit?usp=sharing" TargetMode="External"/><Relationship Id="rId6" Type="http://schemas.openxmlformats.org/officeDocument/2006/relationships/hyperlink" Target="mailto:joaofonseca88@gmail.com" TargetMode="External"/><Relationship Id="rId7" Type="http://schemas.openxmlformats.org/officeDocument/2006/relationships/hyperlink" Target="https://docs.google.com/document/d/18OzUzZhzqAgqWROqNZmBDI4f9z-kfnp7jeF9yaVnkPE/edit?usp=sharing" TargetMode="External"/><Relationship Id="rId8" Type="http://schemas.openxmlformats.org/officeDocument/2006/relationships/hyperlink" Target="mailto:joaofonseca88@gmail.com" TargetMode="External"/><Relationship Id="rId73" Type="http://schemas.openxmlformats.org/officeDocument/2006/relationships/hyperlink" Target="https://docs.google.com/document/d/17PQKJZbEE6_ASJjps3KR7HXFq44pe2v7PVQ8vpmWpNA/edit?usp=sharing" TargetMode="External"/><Relationship Id="rId72" Type="http://schemas.openxmlformats.org/officeDocument/2006/relationships/hyperlink" Target="mailto:joaofonseca88@gmail.com" TargetMode="External"/><Relationship Id="rId75" Type="http://schemas.openxmlformats.org/officeDocument/2006/relationships/hyperlink" Target="https://docs.google.com/document/d/103E5X5BmXjPCT-agX3KMKw0aJawkhGR0rcKtGvFdGoc/edit?usp=sharing" TargetMode="External"/><Relationship Id="rId74" Type="http://schemas.openxmlformats.org/officeDocument/2006/relationships/hyperlink" Target="mailto:joaofonseca88@gmail.com" TargetMode="External"/><Relationship Id="rId77" Type="http://schemas.openxmlformats.org/officeDocument/2006/relationships/hyperlink" Target="https://docs.google.com/document/d/13kPTVfkmQFOReEb3C_PNy5ewtteQTRzZf_y3vUhmtJg/edit?usp=sharing" TargetMode="External"/><Relationship Id="rId76" Type="http://schemas.openxmlformats.org/officeDocument/2006/relationships/hyperlink" Target="mailto:joaofonseca88@gmail.com" TargetMode="External"/><Relationship Id="rId79" Type="http://schemas.openxmlformats.org/officeDocument/2006/relationships/hyperlink" Target="https://docs.google.com/document/d/1KmAp9lq2uGsBm0f53RSHxyqcOeY_GAQxUy5sQrxbzBM/edit?usp=sharing" TargetMode="External"/><Relationship Id="rId78" Type="http://schemas.openxmlformats.org/officeDocument/2006/relationships/hyperlink" Target="mailto:joaofonseca88@gmail.com" TargetMode="External"/><Relationship Id="rId71" Type="http://schemas.openxmlformats.org/officeDocument/2006/relationships/hyperlink" Target="https://docs.google.com/document/d/1FA5HCbTcxhjxKFCUzBR1Z0eSsN07i5IFUydANmTmNUo/edit?usp=sharing" TargetMode="External"/><Relationship Id="rId70" Type="http://schemas.openxmlformats.org/officeDocument/2006/relationships/hyperlink" Target="mailto:joaofonseca88@gmail.com" TargetMode="External"/><Relationship Id="rId62" Type="http://schemas.openxmlformats.org/officeDocument/2006/relationships/hyperlink" Target="mailto:joaofonseca88@gmail.com" TargetMode="External"/><Relationship Id="rId61" Type="http://schemas.openxmlformats.org/officeDocument/2006/relationships/hyperlink" Target="https://docs.google.com/presentation/d/1uW5ngt9EzARdmqmkW1-tYARcBAsy_1fiwGhDNce-2ro/edit?usp=sharing" TargetMode="External"/><Relationship Id="rId64" Type="http://schemas.openxmlformats.org/officeDocument/2006/relationships/hyperlink" Target="mailto:joaofonseca88@gmail.com" TargetMode="External"/><Relationship Id="rId63" Type="http://schemas.openxmlformats.org/officeDocument/2006/relationships/hyperlink" Target="https://docs.google.com/presentation/d/1MBsKR86Kr_IOWmzSmMklVke420EBU0azZPb6JDEzWWk/edit?usp=sharing" TargetMode="External"/><Relationship Id="rId66" Type="http://schemas.openxmlformats.org/officeDocument/2006/relationships/hyperlink" Target="mailto:joaofonseca88@gmail.com" TargetMode="External"/><Relationship Id="rId65" Type="http://schemas.openxmlformats.org/officeDocument/2006/relationships/hyperlink" Target="https://docs.google.com/presentation/d/1LFiFsZvPKJF_OCmrRN-R9t_3wYOwtIVkGSRMcjQKwHE/edit?usp=sharing" TargetMode="External"/><Relationship Id="rId68" Type="http://schemas.openxmlformats.org/officeDocument/2006/relationships/hyperlink" Target="mailto:joaofonseca88@gmail.com" TargetMode="External"/><Relationship Id="rId67" Type="http://schemas.openxmlformats.org/officeDocument/2006/relationships/hyperlink" Target="https://docs.google.com/document/d/1ClGXCGKXq3Xzs6lgrRsCxd9t9B4BrBLV9p4XL1oNSMI/edit?usp=sharing" TargetMode="External"/><Relationship Id="rId60" Type="http://schemas.openxmlformats.org/officeDocument/2006/relationships/hyperlink" Target="mailto:joaofonseca88@gmail.com" TargetMode="External"/><Relationship Id="rId69" Type="http://schemas.openxmlformats.org/officeDocument/2006/relationships/hyperlink" Target="https://docs.google.com/document/d/1Z_yqWDFJCwdm_vXi_S9AVzreAGGLosIrJ-B2bbTF-fE/edit?usp=sharing" TargetMode="External"/><Relationship Id="rId51" Type="http://schemas.openxmlformats.org/officeDocument/2006/relationships/hyperlink" Target="https://docs.google.com/document/d/12vUiM-P7A1q6FgFnNoBbtoVpaICMIlhwly-TT6DtODs/edit?usp=sharing" TargetMode="External"/><Relationship Id="rId50" Type="http://schemas.openxmlformats.org/officeDocument/2006/relationships/hyperlink" Target="mailto:joaofonseca88@gmail.com" TargetMode="External"/><Relationship Id="rId53" Type="http://schemas.openxmlformats.org/officeDocument/2006/relationships/hyperlink" Target="https://docs.google.com/document/d/1K28OGFFSweVvV_TEih5Z0wVgocO8opVQuj4PPEvFC-U/edit?usp=sharing" TargetMode="External"/><Relationship Id="rId52" Type="http://schemas.openxmlformats.org/officeDocument/2006/relationships/hyperlink" Target="mailto:joaofonseca88@gmail.com" TargetMode="External"/><Relationship Id="rId55" Type="http://schemas.openxmlformats.org/officeDocument/2006/relationships/hyperlink" Target="https://docs.google.com/document/d/1p89XNXFntjjPF9Te1hWuWlRkhfhDzG2Lpg-HZYB5FQI/edit?usp=sharing" TargetMode="External"/><Relationship Id="rId54" Type="http://schemas.openxmlformats.org/officeDocument/2006/relationships/hyperlink" Target="mailto:joaofonseca88@gmail.com" TargetMode="External"/><Relationship Id="rId57" Type="http://schemas.openxmlformats.org/officeDocument/2006/relationships/hyperlink" Target="https://docs.google.com/presentation/d/1BENBhJ57zTplWhhNgLjZSYpJNXfcNIuD0vaGBUnaG1g/edit?usp=sharing" TargetMode="External"/><Relationship Id="rId56" Type="http://schemas.openxmlformats.org/officeDocument/2006/relationships/hyperlink" Target="mailto:joaofonseca88@gmail.com" TargetMode="External"/><Relationship Id="rId59" Type="http://schemas.openxmlformats.org/officeDocument/2006/relationships/hyperlink" Target="https://docs.google.com/presentation/d/16na2NrMk3JV4LyDISbGBlhXBYbArpBkifMP2Mfs2Cvo/edit?usp=sharing" TargetMode="External"/><Relationship Id="rId58" Type="http://schemas.openxmlformats.org/officeDocument/2006/relationships/hyperlink" Target="mailto:joaofonseca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7.13"/>
    <col customWidth="1" min="2" max="2" width="12.88"/>
    <col customWidth="1" min="3" max="3" width="13.88"/>
    <col customWidth="1" min="4" max="4" width="15.25"/>
    <col customWidth="1" min="5" max="5" width="25.0"/>
    <col customWidth="1" min="6" max="6" width="6.75"/>
    <col customWidth="1" min="7" max="7" width="27.0"/>
    <col customWidth="1" min="8" max="8" width="17.75"/>
    <col customWidth="1" min="9" max="9" width="20.13"/>
    <col customWidth="1" min="10" max="10" width="21.75"/>
    <col customWidth="1" min="11" max="11" width="16.25"/>
    <col customWidth="1" min="12" max="12" width="20.13"/>
    <col customWidth="1" min="13" max="13" width="21.75"/>
    <col customWidth="1" min="14" max="14" width="16.63"/>
    <col customWidth="1" min="15" max="15" width="20.13"/>
    <col customWidth="1" min="16" max="17" width="21.75"/>
    <col customWidth="1" min="18" max="18" width="20.13"/>
    <col customWidth="1" min="19" max="19" width="21.75"/>
    <col customWidth="1" min="20" max="20" width="16.25"/>
    <col customWidth="1" min="21" max="21" width="20.13"/>
    <col customWidth="1" min="22" max="22" width="21.75"/>
    <col customWidth="1" min="23" max="23" width="16.25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5">
        <v>1.0</v>
      </c>
      <c r="B2" s="5">
        <v>1.0</v>
      </c>
      <c r="C2" s="5" t="s">
        <v>29</v>
      </c>
      <c r="D2" s="6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20" si="1">IF(OR(D2="ROTEIRO DE VÍDEO", D2="VÍDEO"), (IF(J2="Concluído", 1, 0) + IF(Y2="Concluído", 1, 0) + IF(AC2="Concluído", 1, 0)) / 3,
IF(OR(D2="SLIDE", D2="FÓRUM", D2="PLANO DE AULA", D2="QUIZ", D2="TAREFA", D2="EBOOK", D2="PDF(AVULSO)"), (IF(J2="Concluído", 1, 0) + IF(Y2="Concluído", 1, 0) + IF(AC2="Concluído", 1, 0)) / 3))</f>
        <v>1</v>
      </c>
      <c r="G2" s="9" t="s">
        <v>31</v>
      </c>
      <c r="H2" s="9" t="s">
        <v>32</v>
      </c>
      <c r="I2" s="10"/>
      <c r="J2" s="11" t="s">
        <v>33</v>
      </c>
      <c r="K2" s="12" t="s">
        <v>34</v>
      </c>
      <c r="L2" s="10"/>
      <c r="M2" s="11" t="s">
        <v>35</v>
      </c>
      <c r="N2" s="12"/>
      <c r="O2" s="10"/>
      <c r="P2" s="13" t="s">
        <v>33</v>
      </c>
      <c r="Q2" s="14"/>
      <c r="R2" s="10"/>
      <c r="S2" s="13" t="s">
        <v>35</v>
      </c>
      <c r="T2" s="12"/>
      <c r="U2" s="10"/>
      <c r="V2" s="13"/>
      <c r="W2" s="12"/>
      <c r="X2" s="10">
        <v>46085.0</v>
      </c>
      <c r="Y2" s="13" t="s">
        <v>33</v>
      </c>
      <c r="Z2" s="15" t="s">
        <v>36</v>
      </c>
      <c r="AA2" s="12" t="s">
        <v>37</v>
      </c>
      <c r="AB2" s="10">
        <v>46086.0</v>
      </c>
      <c r="AC2" s="11" t="s">
        <v>33</v>
      </c>
    </row>
    <row r="3" ht="22.5" customHeight="1">
      <c r="A3" s="16">
        <v>1.0</v>
      </c>
      <c r="B3" s="16">
        <v>1.0</v>
      </c>
      <c r="C3" s="16" t="s">
        <v>38</v>
      </c>
      <c r="D3" s="17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1</v>
      </c>
      <c r="G3" s="18" t="s">
        <v>39</v>
      </c>
      <c r="H3" s="9" t="s">
        <v>32</v>
      </c>
      <c r="I3" s="10"/>
      <c r="J3" s="11" t="s">
        <v>33</v>
      </c>
      <c r="K3" s="12" t="s">
        <v>34</v>
      </c>
      <c r="L3" s="10"/>
      <c r="M3" s="11" t="s">
        <v>35</v>
      </c>
      <c r="N3" s="12"/>
      <c r="O3" s="10"/>
      <c r="P3" s="11" t="s">
        <v>33</v>
      </c>
      <c r="Q3" s="14"/>
      <c r="R3" s="10"/>
      <c r="S3" s="11" t="s">
        <v>35</v>
      </c>
      <c r="T3" s="12"/>
      <c r="U3" s="10"/>
      <c r="V3" s="11"/>
      <c r="W3" s="12"/>
      <c r="X3" s="10">
        <v>46085.0</v>
      </c>
      <c r="Y3" s="11" t="s">
        <v>33</v>
      </c>
      <c r="Z3" s="19" t="s">
        <v>40</v>
      </c>
      <c r="AA3" s="12" t="s">
        <v>37</v>
      </c>
      <c r="AB3" s="10">
        <v>46086.0</v>
      </c>
      <c r="AC3" s="11" t="s">
        <v>33</v>
      </c>
    </row>
    <row r="4" ht="22.5" customHeight="1">
      <c r="A4" s="5">
        <v>1.0</v>
      </c>
      <c r="B4" s="5">
        <v>1.0</v>
      </c>
      <c r="C4" s="5" t="s">
        <v>41</v>
      </c>
      <c r="D4" s="6" t="s">
        <v>30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1</v>
      </c>
      <c r="G4" s="20" t="s">
        <v>42</v>
      </c>
      <c r="H4" s="9" t="s">
        <v>32</v>
      </c>
      <c r="I4" s="10"/>
      <c r="J4" s="11" t="s">
        <v>33</v>
      </c>
      <c r="K4" s="12" t="s">
        <v>34</v>
      </c>
      <c r="L4" s="10"/>
      <c r="M4" s="11" t="s">
        <v>35</v>
      </c>
      <c r="N4" s="12"/>
      <c r="O4" s="10"/>
      <c r="P4" s="11" t="s">
        <v>33</v>
      </c>
      <c r="Q4" s="14"/>
      <c r="R4" s="10"/>
      <c r="S4" s="11" t="s">
        <v>35</v>
      </c>
      <c r="T4" s="12"/>
      <c r="U4" s="10"/>
      <c r="V4" s="11"/>
      <c r="W4" s="12"/>
      <c r="X4" s="10">
        <v>46085.0</v>
      </c>
      <c r="Y4" s="11" t="s">
        <v>33</v>
      </c>
      <c r="Z4" s="19" t="s">
        <v>43</v>
      </c>
      <c r="AA4" s="12" t="s">
        <v>37</v>
      </c>
      <c r="AB4" s="10">
        <v>46086.0</v>
      </c>
      <c r="AC4" s="11" t="s">
        <v>33</v>
      </c>
    </row>
    <row r="5" ht="22.5" customHeight="1">
      <c r="A5" s="16">
        <v>1.0</v>
      </c>
      <c r="B5" s="16">
        <v>1.0</v>
      </c>
      <c r="C5" s="16" t="s">
        <v>44</v>
      </c>
      <c r="D5" s="21" t="s">
        <v>45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1</v>
      </c>
      <c r="G5" s="18" t="s">
        <v>46</v>
      </c>
      <c r="H5" s="9" t="s">
        <v>32</v>
      </c>
      <c r="I5" s="10"/>
      <c r="J5" s="11" t="s">
        <v>33</v>
      </c>
      <c r="K5" s="12" t="s">
        <v>34</v>
      </c>
      <c r="L5" s="10"/>
      <c r="M5" s="11" t="s">
        <v>35</v>
      </c>
      <c r="N5" s="12"/>
      <c r="O5" s="10"/>
      <c r="P5" s="11"/>
      <c r="Q5" s="14"/>
      <c r="R5" s="10"/>
      <c r="S5" s="11"/>
      <c r="T5" s="12"/>
      <c r="U5" s="10"/>
      <c r="V5" s="11"/>
      <c r="W5" s="12" t="s">
        <v>47</v>
      </c>
      <c r="X5" s="10">
        <v>46062.0</v>
      </c>
      <c r="Y5" s="11" t="s">
        <v>33</v>
      </c>
      <c r="Z5" s="18" t="s">
        <v>48</v>
      </c>
      <c r="AA5" s="12" t="s">
        <v>37</v>
      </c>
      <c r="AB5" s="10">
        <v>45919.0</v>
      </c>
      <c r="AC5" s="11" t="s">
        <v>33</v>
      </c>
    </row>
    <row r="6" ht="22.5" customHeight="1">
      <c r="A6" s="5">
        <v>1.0</v>
      </c>
      <c r="B6" s="5">
        <v>1.0</v>
      </c>
      <c r="C6" s="5" t="s">
        <v>49</v>
      </c>
      <c r="D6" s="22" t="s">
        <v>45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1</v>
      </c>
      <c r="G6" s="18" t="s">
        <v>50</v>
      </c>
      <c r="H6" s="9" t="s">
        <v>32</v>
      </c>
      <c r="I6" s="10"/>
      <c r="J6" s="11" t="s">
        <v>33</v>
      </c>
      <c r="K6" s="12" t="s">
        <v>34</v>
      </c>
      <c r="L6" s="10"/>
      <c r="M6" s="11" t="s">
        <v>35</v>
      </c>
      <c r="N6" s="12"/>
      <c r="O6" s="10"/>
      <c r="P6" s="11"/>
      <c r="Q6" s="14"/>
      <c r="R6" s="10"/>
      <c r="S6" s="11"/>
      <c r="T6" s="12"/>
      <c r="U6" s="10"/>
      <c r="V6" s="11"/>
      <c r="W6" s="12" t="s">
        <v>47</v>
      </c>
      <c r="X6" s="10">
        <v>46063.0</v>
      </c>
      <c r="Y6" s="11" t="s">
        <v>33</v>
      </c>
      <c r="Z6" s="23" t="s">
        <v>51</v>
      </c>
      <c r="AA6" s="12" t="s">
        <v>37</v>
      </c>
      <c r="AB6" s="10">
        <v>45919.0</v>
      </c>
      <c r="AC6" s="11" t="s">
        <v>33</v>
      </c>
    </row>
    <row r="7" ht="22.5" customHeight="1">
      <c r="A7" s="16">
        <v>1.0</v>
      </c>
      <c r="B7" s="16">
        <v>1.0</v>
      </c>
      <c r="C7" s="16" t="s">
        <v>52</v>
      </c>
      <c r="D7" s="21" t="s">
        <v>45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1</v>
      </c>
      <c r="G7" s="18" t="s">
        <v>53</v>
      </c>
      <c r="H7" s="9" t="s">
        <v>32</v>
      </c>
      <c r="I7" s="10"/>
      <c r="J7" s="11" t="s">
        <v>33</v>
      </c>
      <c r="K7" s="12" t="s">
        <v>34</v>
      </c>
      <c r="L7" s="10"/>
      <c r="M7" s="11" t="s">
        <v>35</v>
      </c>
      <c r="N7" s="12"/>
      <c r="O7" s="10"/>
      <c r="P7" s="11"/>
      <c r="Q7" s="14"/>
      <c r="R7" s="10"/>
      <c r="S7" s="11"/>
      <c r="T7" s="12"/>
      <c r="U7" s="10"/>
      <c r="V7" s="11"/>
      <c r="W7" s="12" t="s">
        <v>47</v>
      </c>
      <c r="X7" s="10">
        <v>46063.0</v>
      </c>
      <c r="Y7" s="11" t="s">
        <v>33</v>
      </c>
      <c r="Z7" s="18" t="s">
        <v>54</v>
      </c>
      <c r="AA7" s="12" t="s">
        <v>37</v>
      </c>
      <c r="AB7" s="10">
        <v>45919.0</v>
      </c>
      <c r="AC7" s="11" t="s">
        <v>33</v>
      </c>
    </row>
    <row r="8" ht="22.5" customHeight="1">
      <c r="A8" s="5">
        <v>1.0</v>
      </c>
      <c r="B8" s="5">
        <v>1.0</v>
      </c>
      <c r="C8" s="5" t="s">
        <v>55</v>
      </c>
      <c r="D8" s="22" t="s">
        <v>56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1</v>
      </c>
      <c r="G8" s="18" t="s">
        <v>57</v>
      </c>
      <c r="H8" s="9" t="s">
        <v>32</v>
      </c>
      <c r="I8" s="10"/>
      <c r="J8" s="11" t="s">
        <v>33</v>
      </c>
      <c r="K8" s="12" t="s">
        <v>34</v>
      </c>
      <c r="L8" s="10"/>
      <c r="M8" s="11" t="s">
        <v>35</v>
      </c>
      <c r="N8" s="12"/>
      <c r="O8" s="10"/>
      <c r="P8" s="11"/>
      <c r="Q8" s="14"/>
      <c r="R8" s="10"/>
      <c r="S8" s="11"/>
      <c r="T8" s="12"/>
      <c r="U8" s="10"/>
      <c r="V8" s="11"/>
      <c r="W8" s="12" t="s">
        <v>47</v>
      </c>
      <c r="X8" s="10">
        <v>46085.0</v>
      </c>
      <c r="Y8" s="11" t="s">
        <v>33</v>
      </c>
      <c r="Z8" s="20" t="s">
        <v>58</v>
      </c>
      <c r="AA8" s="12" t="s">
        <v>37</v>
      </c>
      <c r="AB8" s="10">
        <v>45919.0</v>
      </c>
      <c r="AC8" s="11" t="s">
        <v>33</v>
      </c>
    </row>
    <row r="9" ht="22.5" customHeight="1">
      <c r="A9" s="16">
        <v>1.0</v>
      </c>
      <c r="B9" s="16">
        <v>1.0</v>
      </c>
      <c r="C9" s="16" t="s">
        <v>59</v>
      </c>
      <c r="D9" s="21" t="s">
        <v>60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1</v>
      </c>
      <c r="G9" s="24" t="s">
        <v>61</v>
      </c>
      <c r="H9" s="9" t="s">
        <v>32</v>
      </c>
      <c r="I9" s="10"/>
      <c r="J9" s="11" t="s">
        <v>33</v>
      </c>
      <c r="K9" s="12" t="s">
        <v>34</v>
      </c>
      <c r="L9" s="10"/>
      <c r="M9" s="11" t="s">
        <v>35</v>
      </c>
      <c r="N9" s="12"/>
      <c r="O9" s="10"/>
      <c r="P9" s="11"/>
      <c r="Q9" s="14"/>
      <c r="R9" s="10"/>
      <c r="S9" s="11"/>
      <c r="T9" s="12"/>
      <c r="U9" s="10"/>
      <c r="V9" s="11"/>
      <c r="W9" s="12" t="s">
        <v>47</v>
      </c>
      <c r="X9" s="10">
        <v>46085.0</v>
      </c>
      <c r="Y9" s="11" t="s">
        <v>33</v>
      </c>
      <c r="Z9" s="24" t="s">
        <v>62</v>
      </c>
      <c r="AA9" s="12" t="s">
        <v>37</v>
      </c>
      <c r="AB9" s="10">
        <v>45919.0</v>
      </c>
      <c r="AC9" s="11" t="s">
        <v>33</v>
      </c>
    </row>
    <row r="10" ht="22.5" customHeight="1">
      <c r="A10" s="5">
        <v>1.0</v>
      </c>
      <c r="B10" s="5">
        <v>1.0</v>
      </c>
      <c r="C10" s="5" t="s">
        <v>63</v>
      </c>
      <c r="D10" s="22" t="s">
        <v>64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1</v>
      </c>
      <c r="G10" s="20" t="s">
        <v>65</v>
      </c>
      <c r="H10" s="9" t="s">
        <v>32</v>
      </c>
      <c r="I10" s="10"/>
      <c r="J10" s="11" t="s">
        <v>33</v>
      </c>
      <c r="K10" s="12" t="s">
        <v>34</v>
      </c>
      <c r="L10" s="10"/>
      <c r="M10" s="11" t="s">
        <v>35</v>
      </c>
      <c r="N10" s="12"/>
      <c r="O10" s="10"/>
      <c r="P10" s="11"/>
      <c r="Q10" s="14"/>
      <c r="R10" s="10"/>
      <c r="S10" s="11"/>
      <c r="T10" s="12"/>
      <c r="U10" s="10"/>
      <c r="V10" s="11"/>
      <c r="W10" s="12" t="s">
        <v>47</v>
      </c>
      <c r="X10" s="10">
        <v>46085.0</v>
      </c>
      <c r="Y10" s="11" t="s">
        <v>33</v>
      </c>
      <c r="Z10" s="20" t="s">
        <v>66</v>
      </c>
      <c r="AA10" s="12" t="s">
        <v>37</v>
      </c>
      <c r="AB10" s="10">
        <v>45919.0</v>
      </c>
      <c r="AC10" s="11" t="s">
        <v>33</v>
      </c>
    </row>
    <row r="11" ht="22.5" customHeight="1">
      <c r="A11" s="5">
        <v>1.0</v>
      </c>
      <c r="B11" s="25">
        <v>2.0</v>
      </c>
      <c r="C11" s="5" t="s">
        <v>67</v>
      </c>
      <c r="D11" s="6" t="s">
        <v>30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1</v>
      </c>
      <c r="G11" s="23" t="s">
        <v>68</v>
      </c>
      <c r="H11" s="9" t="s">
        <v>32</v>
      </c>
      <c r="I11" s="10"/>
      <c r="J11" s="11" t="s">
        <v>33</v>
      </c>
      <c r="K11" s="12" t="s">
        <v>34</v>
      </c>
      <c r="L11" s="10"/>
      <c r="M11" s="11" t="s">
        <v>35</v>
      </c>
      <c r="N11" s="12"/>
      <c r="O11" s="10"/>
      <c r="P11" s="11" t="s">
        <v>33</v>
      </c>
      <c r="Q11" s="14"/>
      <c r="R11" s="10"/>
      <c r="S11" s="11" t="s">
        <v>35</v>
      </c>
      <c r="T11" s="12"/>
      <c r="U11" s="10"/>
      <c r="V11" s="11"/>
      <c r="W11" s="12"/>
      <c r="X11" s="10">
        <v>46085.0</v>
      </c>
      <c r="Y11" s="11" t="s">
        <v>33</v>
      </c>
      <c r="Z11" s="19" t="s">
        <v>69</v>
      </c>
      <c r="AA11" s="12" t="s">
        <v>37</v>
      </c>
      <c r="AB11" s="10">
        <v>46086.0</v>
      </c>
      <c r="AC11" s="11" t="s">
        <v>33</v>
      </c>
    </row>
    <row r="12" ht="22.5" customHeight="1">
      <c r="A12" s="16">
        <v>1.0</v>
      </c>
      <c r="B12" s="26">
        <v>2.0</v>
      </c>
      <c r="C12" s="16" t="s">
        <v>70</v>
      </c>
      <c r="D12" s="17" t="s">
        <v>30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1</v>
      </c>
      <c r="G12" s="18" t="s">
        <v>71</v>
      </c>
      <c r="H12" s="9" t="s">
        <v>32</v>
      </c>
      <c r="I12" s="10"/>
      <c r="J12" s="11" t="s">
        <v>33</v>
      </c>
      <c r="K12" s="12" t="s">
        <v>34</v>
      </c>
      <c r="L12" s="10"/>
      <c r="M12" s="11" t="s">
        <v>35</v>
      </c>
      <c r="N12" s="12"/>
      <c r="O12" s="10"/>
      <c r="P12" s="11" t="s">
        <v>33</v>
      </c>
      <c r="Q12" s="14"/>
      <c r="R12" s="10"/>
      <c r="S12" s="11" t="s">
        <v>35</v>
      </c>
      <c r="T12" s="12"/>
      <c r="U12" s="10"/>
      <c r="V12" s="11"/>
      <c r="W12" s="12"/>
      <c r="X12" s="10">
        <v>46085.0</v>
      </c>
      <c r="Y12" s="11" t="s">
        <v>33</v>
      </c>
      <c r="Z12" s="19" t="s">
        <v>72</v>
      </c>
      <c r="AA12" s="12" t="s">
        <v>37</v>
      </c>
      <c r="AB12" s="10">
        <v>46086.0</v>
      </c>
      <c r="AC12" s="11" t="s">
        <v>33</v>
      </c>
    </row>
    <row r="13" ht="22.5" customHeight="1">
      <c r="A13" s="5">
        <v>1.0</v>
      </c>
      <c r="B13" s="25">
        <v>2.0</v>
      </c>
      <c r="C13" s="5" t="s">
        <v>73</v>
      </c>
      <c r="D13" s="6" t="s">
        <v>30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1</v>
      </c>
      <c r="G13" s="18" t="s">
        <v>74</v>
      </c>
      <c r="H13" s="9" t="s">
        <v>32</v>
      </c>
      <c r="I13" s="10"/>
      <c r="J13" s="11" t="s">
        <v>33</v>
      </c>
      <c r="K13" s="12" t="s">
        <v>34</v>
      </c>
      <c r="L13" s="10"/>
      <c r="M13" s="11" t="s">
        <v>35</v>
      </c>
      <c r="N13" s="12"/>
      <c r="O13" s="10"/>
      <c r="P13" s="11" t="s">
        <v>33</v>
      </c>
      <c r="Q13" s="14"/>
      <c r="R13" s="10"/>
      <c r="S13" s="11" t="s">
        <v>35</v>
      </c>
      <c r="T13" s="12"/>
      <c r="U13" s="10"/>
      <c r="V13" s="11"/>
      <c r="W13" s="12"/>
      <c r="X13" s="10">
        <v>46085.0</v>
      </c>
      <c r="Y13" s="11" t="s">
        <v>33</v>
      </c>
      <c r="Z13" s="15" t="s">
        <v>75</v>
      </c>
      <c r="AA13" s="12" t="s">
        <v>37</v>
      </c>
      <c r="AB13" s="10">
        <v>46086.0</v>
      </c>
      <c r="AC13" s="11" t="s">
        <v>33</v>
      </c>
    </row>
    <row r="14" ht="22.5" customHeight="1">
      <c r="A14" s="16">
        <v>1.0</v>
      </c>
      <c r="B14" s="26">
        <v>2.0</v>
      </c>
      <c r="C14" s="16" t="s">
        <v>76</v>
      </c>
      <c r="D14" s="17" t="s">
        <v>45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1</v>
      </c>
      <c r="G14" s="18" t="s">
        <v>77</v>
      </c>
      <c r="H14" s="9" t="s">
        <v>32</v>
      </c>
      <c r="I14" s="10"/>
      <c r="J14" s="11" t="s">
        <v>33</v>
      </c>
      <c r="K14" s="12" t="s">
        <v>34</v>
      </c>
      <c r="L14" s="10"/>
      <c r="M14" s="11" t="s">
        <v>35</v>
      </c>
      <c r="N14" s="12"/>
      <c r="O14" s="10"/>
      <c r="P14" s="27"/>
      <c r="Q14" s="14"/>
      <c r="R14" s="10"/>
      <c r="S14" s="11"/>
      <c r="T14" s="12"/>
      <c r="U14" s="10"/>
      <c r="V14" s="11"/>
      <c r="W14" s="12" t="s">
        <v>47</v>
      </c>
      <c r="X14" s="10">
        <v>46062.0</v>
      </c>
      <c r="Y14" s="11" t="s">
        <v>33</v>
      </c>
      <c r="Z14" s="18" t="s">
        <v>78</v>
      </c>
      <c r="AA14" s="12" t="s">
        <v>37</v>
      </c>
      <c r="AB14" s="10">
        <v>45924.0</v>
      </c>
      <c r="AC14" s="11" t="s">
        <v>33</v>
      </c>
    </row>
    <row r="15" ht="22.5" customHeight="1">
      <c r="A15" s="5">
        <v>1.0</v>
      </c>
      <c r="B15" s="25">
        <v>2.0</v>
      </c>
      <c r="C15" s="5" t="s">
        <v>79</v>
      </c>
      <c r="D15" s="22" t="s">
        <v>45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1</v>
      </c>
      <c r="G15" s="18" t="s">
        <v>80</v>
      </c>
      <c r="H15" s="9" t="s">
        <v>32</v>
      </c>
      <c r="I15" s="10"/>
      <c r="J15" s="11" t="s">
        <v>33</v>
      </c>
      <c r="K15" s="12" t="s">
        <v>34</v>
      </c>
      <c r="L15" s="10"/>
      <c r="M15" s="11" t="s">
        <v>35</v>
      </c>
      <c r="N15" s="12"/>
      <c r="O15" s="10"/>
      <c r="P15" s="11"/>
      <c r="Q15" s="14"/>
      <c r="R15" s="10"/>
      <c r="S15" s="11"/>
      <c r="T15" s="12"/>
      <c r="U15" s="10"/>
      <c r="V15" s="11"/>
      <c r="W15" s="12" t="s">
        <v>47</v>
      </c>
      <c r="X15" s="10">
        <v>46063.0</v>
      </c>
      <c r="Y15" s="11" t="s">
        <v>33</v>
      </c>
      <c r="Z15" s="18" t="s">
        <v>81</v>
      </c>
      <c r="AA15" s="12" t="s">
        <v>37</v>
      </c>
      <c r="AB15" s="10">
        <v>45924.0</v>
      </c>
      <c r="AC15" s="11" t="s">
        <v>33</v>
      </c>
    </row>
    <row r="16" ht="22.5" customHeight="1">
      <c r="A16" s="16">
        <v>1.0</v>
      </c>
      <c r="B16" s="26">
        <v>2.0</v>
      </c>
      <c r="C16" s="16" t="s">
        <v>82</v>
      </c>
      <c r="D16" s="21" t="s">
        <v>45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1</v>
      </c>
      <c r="G16" s="18" t="s">
        <v>83</v>
      </c>
      <c r="H16" s="9" t="s">
        <v>32</v>
      </c>
      <c r="I16" s="10"/>
      <c r="J16" s="11" t="s">
        <v>33</v>
      </c>
      <c r="K16" s="12" t="s">
        <v>34</v>
      </c>
      <c r="L16" s="10"/>
      <c r="M16" s="11" t="s">
        <v>35</v>
      </c>
      <c r="N16" s="12"/>
      <c r="O16" s="10"/>
      <c r="P16" s="11"/>
      <c r="Q16" s="14"/>
      <c r="R16" s="10"/>
      <c r="S16" s="11"/>
      <c r="T16" s="12"/>
      <c r="U16" s="10"/>
      <c r="V16" s="11"/>
      <c r="W16" s="12" t="s">
        <v>47</v>
      </c>
      <c r="X16" s="10">
        <v>46064.0</v>
      </c>
      <c r="Y16" s="11" t="s">
        <v>33</v>
      </c>
      <c r="Z16" s="18" t="s">
        <v>84</v>
      </c>
      <c r="AA16" s="12" t="s">
        <v>37</v>
      </c>
      <c r="AB16" s="10">
        <v>45924.0</v>
      </c>
      <c r="AC16" s="11" t="s">
        <v>33</v>
      </c>
    </row>
    <row r="17" ht="22.5" customHeight="1">
      <c r="A17" s="5">
        <v>1.0</v>
      </c>
      <c r="B17" s="25">
        <v>2.0</v>
      </c>
      <c r="C17" s="5" t="s">
        <v>85</v>
      </c>
      <c r="D17" s="22" t="s">
        <v>56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1</v>
      </c>
      <c r="G17" s="18" t="s">
        <v>86</v>
      </c>
      <c r="H17" s="9" t="s">
        <v>32</v>
      </c>
      <c r="I17" s="10"/>
      <c r="J17" s="11" t="s">
        <v>33</v>
      </c>
      <c r="K17" s="12" t="s">
        <v>34</v>
      </c>
      <c r="L17" s="10"/>
      <c r="M17" s="11" t="s">
        <v>35</v>
      </c>
      <c r="N17" s="12"/>
      <c r="O17" s="10"/>
      <c r="P17" s="11"/>
      <c r="Q17" s="14"/>
      <c r="R17" s="10"/>
      <c r="S17" s="11"/>
      <c r="T17" s="12"/>
      <c r="U17" s="10"/>
      <c r="V17" s="11"/>
      <c r="W17" s="12" t="s">
        <v>47</v>
      </c>
      <c r="X17" s="10">
        <v>46085.0</v>
      </c>
      <c r="Y17" s="11" t="s">
        <v>33</v>
      </c>
      <c r="Z17" s="18" t="s">
        <v>87</v>
      </c>
      <c r="AA17" s="12" t="s">
        <v>37</v>
      </c>
      <c r="AB17" s="10">
        <v>45924.0</v>
      </c>
      <c r="AC17" s="11" t="s">
        <v>33</v>
      </c>
    </row>
    <row r="18" ht="22.5" customHeight="1">
      <c r="A18" s="16">
        <v>1.0</v>
      </c>
      <c r="B18" s="26">
        <v>2.0</v>
      </c>
      <c r="C18" s="16" t="s">
        <v>88</v>
      </c>
      <c r="D18" s="21" t="s">
        <v>60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1</v>
      </c>
      <c r="G18" s="18" t="s">
        <v>89</v>
      </c>
      <c r="H18" s="9" t="s">
        <v>32</v>
      </c>
      <c r="I18" s="10"/>
      <c r="J18" s="11" t="s">
        <v>33</v>
      </c>
      <c r="K18" s="12" t="s">
        <v>34</v>
      </c>
      <c r="L18" s="10"/>
      <c r="M18" s="11" t="s">
        <v>35</v>
      </c>
      <c r="N18" s="12"/>
      <c r="O18" s="10"/>
      <c r="P18" s="11"/>
      <c r="Q18" s="14"/>
      <c r="R18" s="10"/>
      <c r="S18" s="11"/>
      <c r="T18" s="12"/>
      <c r="U18" s="10"/>
      <c r="V18" s="11"/>
      <c r="W18" s="12" t="s">
        <v>47</v>
      </c>
      <c r="X18" s="10">
        <v>46085.0</v>
      </c>
      <c r="Y18" s="11" t="s">
        <v>33</v>
      </c>
      <c r="Z18" s="18" t="s">
        <v>90</v>
      </c>
      <c r="AA18" s="12" t="s">
        <v>37</v>
      </c>
      <c r="AB18" s="10">
        <v>45924.0</v>
      </c>
      <c r="AC18" s="11" t="s">
        <v>33</v>
      </c>
    </row>
    <row r="19" ht="22.5" customHeight="1">
      <c r="A19" s="5">
        <v>1.0</v>
      </c>
      <c r="B19" s="25">
        <v>2.0</v>
      </c>
      <c r="C19" s="5" t="s">
        <v>91</v>
      </c>
      <c r="D19" s="22" t="s">
        <v>64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1</v>
      </c>
      <c r="G19" s="18" t="s">
        <v>92</v>
      </c>
      <c r="H19" s="9" t="s">
        <v>32</v>
      </c>
      <c r="I19" s="10"/>
      <c r="J19" s="11" t="s">
        <v>33</v>
      </c>
      <c r="K19" s="12" t="s">
        <v>34</v>
      </c>
      <c r="L19" s="10"/>
      <c r="M19" s="11" t="s">
        <v>35</v>
      </c>
      <c r="N19" s="12"/>
      <c r="O19" s="10"/>
      <c r="P19" s="11"/>
      <c r="Q19" s="14"/>
      <c r="R19" s="10"/>
      <c r="S19" s="11"/>
      <c r="T19" s="12"/>
      <c r="U19" s="10"/>
      <c r="V19" s="11"/>
      <c r="W19" s="12" t="s">
        <v>47</v>
      </c>
      <c r="X19" s="10">
        <v>46085.0</v>
      </c>
      <c r="Y19" s="11" t="s">
        <v>33</v>
      </c>
      <c r="Z19" s="18" t="s">
        <v>93</v>
      </c>
      <c r="AA19" s="12" t="s">
        <v>37</v>
      </c>
      <c r="AB19" s="10">
        <v>45924.0</v>
      </c>
      <c r="AC19" s="11" t="s">
        <v>33</v>
      </c>
    </row>
    <row r="20" ht="22.5" customHeight="1">
      <c r="A20" s="16">
        <v>1.0</v>
      </c>
      <c r="B20" s="26">
        <v>2.0</v>
      </c>
      <c r="C20" s="16" t="s">
        <v>94</v>
      </c>
      <c r="D20" s="21" t="s">
        <v>95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0.6666666667</v>
      </c>
      <c r="G20" s="18" t="s">
        <v>96</v>
      </c>
      <c r="H20" s="9" t="s">
        <v>32</v>
      </c>
      <c r="I20" s="10"/>
      <c r="J20" s="11" t="s">
        <v>97</v>
      </c>
      <c r="K20" s="12" t="s">
        <v>34</v>
      </c>
      <c r="L20" s="10"/>
      <c r="M20" s="11"/>
      <c r="N20" s="12"/>
      <c r="O20" s="10"/>
      <c r="P20" s="11"/>
      <c r="Q20" s="14"/>
      <c r="R20" s="10"/>
      <c r="S20" s="11"/>
      <c r="T20" s="12"/>
      <c r="U20" s="10"/>
      <c r="V20" s="11"/>
      <c r="W20" s="12" t="s">
        <v>47</v>
      </c>
      <c r="X20" s="10">
        <v>46085.0</v>
      </c>
      <c r="Y20" s="11" t="s">
        <v>33</v>
      </c>
      <c r="Z20" s="18" t="s">
        <v>98</v>
      </c>
      <c r="AA20" s="12" t="s">
        <v>37</v>
      </c>
      <c r="AB20" s="10">
        <v>45924.0</v>
      </c>
      <c r="AC20" s="11" t="s">
        <v>33</v>
      </c>
    </row>
  </sheetData>
  <dataValidations>
    <dataValidation type="list" allowBlank="1" sqref="P2:P20 S2:S20 Y2:Y20">
      <formula1>"Concluído,Em Andamento,Pendente,Precisa de Alteração"</formula1>
    </dataValidation>
    <dataValidation type="list" allowBlank="1" sqref="J2:J20">
      <formula1>"Concluído,Em Andamento,Pendente,Precisa de Alteração,Não há"</formula1>
    </dataValidation>
    <dataValidation type="custom" allowBlank="1" showDropDown="1" sqref="I2:I20 L2:L20 O2:O20 R2:R20 U2:U20 X2:X20 AB2:AB20">
      <formula1>OR(NOT(ISERROR(DATEVALUE(I2))), AND(ISNUMBER(I2), LEFT(CELL("format", I2))="D"))</formula1>
    </dataValidation>
    <dataValidation type="list" allowBlank="1" sqref="V2:V20">
      <formula1>"Concluído,Em Andamento,Pendente,Precisa de Alteração,Não Há"</formula1>
    </dataValidation>
    <dataValidation type="list" allowBlank="1" sqref="AC2:AC20">
      <formula1>"Concluído,Em Andamento,Pendente,Aguardando Correção"</formula1>
    </dataValidation>
    <dataValidation type="custom" allowBlank="1" showDropDown="1" sqref="F2:F20">
      <formula1>AND(ISNUMBER(F2),(NOT(OR(NOT(ISERROR(DATEVALUE(F2))), AND(ISNUMBER(F2), LEFT(CELL("format", F2))="D")))))</formula1>
    </dataValidation>
    <dataValidation type="list" allowBlank="1" sqref="M2:M20">
      <formula1>"Concluído,Em Andamento,Pendente,Aguardando Correção,Não há"</formula1>
    </dataValidation>
  </dataValidations>
  <hyperlinks>
    <hyperlink r:id="rId1" ref="G2"/>
    <hyperlink r:id="rId2" ref="H2"/>
    <hyperlink r:id="rId3" ref="Z2"/>
    <hyperlink r:id="rId4" ref="G3"/>
    <hyperlink r:id="rId5" ref="H3"/>
    <hyperlink r:id="rId6" ref="Z3"/>
    <hyperlink r:id="rId7" ref="G4"/>
    <hyperlink r:id="rId8" ref="H4"/>
    <hyperlink r:id="rId9" ref="Z4"/>
    <hyperlink r:id="rId10" ref="G5"/>
    <hyperlink r:id="rId11" ref="H5"/>
    <hyperlink r:id="rId12" ref="Z5"/>
    <hyperlink r:id="rId13" ref="G6"/>
    <hyperlink r:id="rId14" ref="H6"/>
    <hyperlink r:id="rId15" ref="Z6"/>
    <hyperlink r:id="rId16" ref="G7"/>
    <hyperlink r:id="rId17" ref="H7"/>
    <hyperlink r:id="rId18" ref="Z7"/>
    <hyperlink r:id="rId19" ref="G8"/>
    <hyperlink r:id="rId20" ref="H8"/>
    <hyperlink r:id="rId21" ref="Z8"/>
    <hyperlink r:id="rId22" ref="G9"/>
    <hyperlink r:id="rId23" ref="H9"/>
    <hyperlink r:id="rId24" ref="Z9"/>
    <hyperlink r:id="rId25" ref="G10"/>
    <hyperlink r:id="rId26" ref="H10"/>
    <hyperlink r:id="rId27" ref="Z10"/>
    <hyperlink r:id="rId28" ref="G11"/>
    <hyperlink r:id="rId29" ref="H11"/>
    <hyperlink r:id="rId30" ref="Z11"/>
    <hyperlink r:id="rId31" ref="G12"/>
    <hyperlink r:id="rId32" ref="H12"/>
    <hyperlink r:id="rId33" ref="Z12"/>
    <hyperlink r:id="rId34" ref="G13"/>
    <hyperlink r:id="rId35" ref="H13"/>
    <hyperlink r:id="rId36" ref="Z13"/>
    <hyperlink r:id="rId37" ref="G14"/>
    <hyperlink r:id="rId38" ref="H14"/>
    <hyperlink r:id="rId39" ref="Z14"/>
    <hyperlink r:id="rId40" ref="G15"/>
    <hyperlink r:id="rId41" ref="H15"/>
    <hyperlink r:id="rId42" ref="Z15"/>
    <hyperlink r:id="rId43" ref="G16"/>
    <hyperlink r:id="rId44" ref="H16"/>
    <hyperlink r:id="rId45" ref="Z16"/>
    <hyperlink r:id="rId46" ref="G17"/>
    <hyperlink r:id="rId47" ref="H17"/>
    <hyperlink r:id="rId48" ref="Z17"/>
    <hyperlink r:id="rId49" ref="G18"/>
    <hyperlink r:id="rId50" ref="H18"/>
    <hyperlink r:id="rId51" ref="Z18"/>
    <hyperlink r:id="rId52" ref="G19"/>
    <hyperlink r:id="rId53" ref="H19"/>
    <hyperlink r:id="rId54" ref="Z19"/>
    <hyperlink r:id="rId55" ref="G20"/>
    <hyperlink r:id="rId56" ref="H20"/>
    <hyperlink r:id="rId57" ref="Z20"/>
  </hyperlinks>
  <drawing r:id="rId58"/>
  <tableParts count="1">
    <tablePart r:id="rId6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3.0"/>
    <col customWidth="1" min="2" max="2" width="10.63"/>
    <col customWidth="1" min="3" max="3" width="19.13"/>
    <col customWidth="1" min="4" max="4" width="20.38"/>
    <col customWidth="1" min="5" max="5" width="24.38"/>
    <col customWidth="1" min="6" max="6" width="4.63"/>
    <col customWidth="1" min="7" max="7" width="27.0"/>
    <col customWidth="1" min="8" max="8" width="17.75"/>
    <col customWidth="1" min="9" max="9" width="20.13"/>
    <col customWidth="1" min="10" max="10" width="21.75"/>
    <col customWidth="1" min="11" max="11" width="16.25"/>
    <col customWidth="1" min="12" max="12" width="20.13"/>
    <col customWidth="1" min="13" max="13" width="21.75"/>
    <col customWidth="1" min="14" max="14" width="16.63"/>
    <col customWidth="1" min="15" max="15" width="20.13"/>
    <col customWidth="1" min="16" max="17" width="21.75"/>
    <col customWidth="1" min="18" max="18" width="20.13"/>
    <col customWidth="1" min="19" max="19" width="21.75"/>
    <col customWidth="1" min="20" max="20" width="16.25"/>
    <col customWidth="1" min="21" max="21" width="20.13"/>
    <col customWidth="1" min="22" max="22" width="21.75"/>
    <col customWidth="1" min="23" max="23" width="16.25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8" t="s">
        <v>24</v>
      </c>
      <c r="Z1" s="4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9">
        <v>2.0</v>
      </c>
      <c r="B2" s="5">
        <v>1.0</v>
      </c>
      <c r="C2" s="30" t="s">
        <v>99</v>
      </c>
      <c r="D2" s="6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19" si="1">IF(OR(D2="ROTEIRO DE VÍDEO", D2="VÍDEO"), (IF(J2="Concluído", 1, 0) + IF(M2="Concluído", 1, 0) + IF(P2="Concluído", 1, 0) + IF(S2="Concluído", 1, 0) + IF(Y2="Concluído", 1, 0) + IF(AC2="Concluído", 1, 0)) / 6,
IF(OR(D2="SLIDE", D2="FÓRUM", D2="PLANO DE AULA", D2="QUIZ", D2="TAREFA", D2="EBOOK", D2="PDF(AVULSO)"), (IF(J2="Concluído", 1, 0) + IF(M2="Concluído", 1, 0) + IF(S2="Concluído", 1, 0)  + IF(Y2="Concluído", 1, 0) + IF(AC2="Concluído", 1, 0)) / 5,0))</f>
        <v>0.5</v>
      </c>
      <c r="G2" s="9" t="s">
        <v>100</v>
      </c>
      <c r="H2" s="9" t="s">
        <v>101</v>
      </c>
      <c r="I2" s="10">
        <v>46071.0</v>
      </c>
      <c r="J2" s="11" t="s">
        <v>33</v>
      </c>
      <c r="K2" s="12" t="s">
        <v>34</v>
      </c>
      <c r="L2" s="10">
        <v>46072.0</v>
      </c>
      <c r="M2" s="11" t="s">
        <v>33</v>
      </c>
      <c r="N2" s="12"/>
      <c r="O2" s="10"/>
      <c r="P2" s="13" t="s">
        <v>35</v>
      </c>
      <c r="Q2" s="12" t="s">
        <v>102</v>
      </c>
      <c r="R2" s="10">
        <v>46084.0</v>
      </c>
      <c r="S2" s="31"/>
      <c r="T2" s="12"/>
      <c r="U2" s="10"/>
      <c r="V2" s="31"/>
      <c r="W2" s="12"/>
      <c r="X2" s="10">
        <v>46085.0</v>
      </c>
      <c r="Y2" s="32" t="s">
        <v>33</v>
      </c>
      <c r="Z2" s="15" t="s">
        <v>103</v>
      </c>
      <c r="AA2" s="12" t="s">
        <v>37</v>
      </c>
      <c r="AB2" s="10">
        <v>46086.0</v>
      </c>
      <c r="AC2" s="11" t="s">
        <v>35</v>
      </c>
    </row>
    <row r="3" ht="22.5" customHeight="1">
      <c r="A3" s="29">
        <v>2.0</v>
      </c>
      <c r="B3" s="16">
        <v>1.0</v>
      </c>
      <c r="C3" s="33" t="s">
        <v>104</v>
      </c>
      <c r="D3" s="17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0.5</v>
      </c>
      <c r="G3" s="18" t="s">
        <v>105</v>
      </c>
      <c r="H3" s="9" t="s">
        <v>101</v>
      </c>
      <c r="I3" s="10">
        <v>46071.0</v>
      </c>
      <c r="J3" s="11" t="s">
        <v>33</v>
      </c>
      <c r="K3" s="12" t="s">
        <v>34</v>
      </c>
      <c r="L3" s="10">
        <v>46072.0</v>
      </c>
      <c r="M3" s="11" t="s">
        <v>33</v>
      </c>
      <c r="N3" s="12"/>
      <c r="O3" s="10"/>
      <c r="P3" s="11" t="s">
        <v>35</v>
      </c>
      <c r="Q3" s="12" t="s">
        <v>102</v>
      </c>
      <c r="R3" s="10">
        <v>46084.0</v>
      </c>
      <c r="S3" s="27"/>
      <c r="T3" s="12"/>
      <c r="U3" s="10"/>
      <c r="V3" s="27"/>
      <c r="W3" s="12"/>
      <c r="X3" s="10">
        <v>46085.0</v>
      </c>
      <c r="Y3" s="34" t="s">
        <v>33</v>
      </c>
      <c r="Z3" s="15" t="s">
        <v>106</v>
      </c>
      <c r="AA3" s="12" t="s">
        <v>37</v>
      </c>
      <c r="AB3" s="10">
        <v>46086.0</v>
      </c>
      <c r="AC3" s="11" t="s">
        <v>35</v>
      </c>
    </row>
    <row r="4" ht="22.5" customHeight="1">
      <c r="A4" s="29">
        <v>2.0</v>
      </c>
      <c r="B4" s="16">
        <v>1.0</v>
      </c>
      <c r="C4" s="33" t="s">
        <v>107</v>
      </c>
      <c r="D4" s="35" t="s">
        <v>60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1</v>
      </c>
      <c r="G4" s="18" t="s">
        <v>108</v>
      </c>
      <c r="H4" s="36" t="s">
        <v>101</v>
      </c>
      <c r="I4" s="10">
        <v>46071.0</v>
      </c>
      <c r="J4" s="11" t="s">
        <v>33</v>
      </c>
      <c r="K4" s="12" t="s">
        <v>34</v>
      </c>
      <c r="L4" s="10">
        <v>46072.0</v>
      </c>
      <c r="M4" s="11" t="s">
        <v>33</v>
      </c>
      <c r="N4" s="12"/>
      <c r="O4" s="10"/>
      <c r="P4" s="11" t="s">
        <v>35</v>
      </c>
      <c r="Q4" s="12" t="s">
        <v>102</v>
      </c>
      <c r="R4" s="10">
        <v>46084.0</v>
      </c>
      <c r="S4" s="11" t="s">
        <v>33</v>
      </c>
      <c r="T4" s="12"/>
      <c r="U4" s="10"/>
      <c r="V4" s="11" t="s">
        <v>35</v>
      </c>
      <c r="W4" s="12" t="s">
        <v>47</v>
      </c>
      <c r="X4" s="10">
        <v>46074.0</v>
      </c>
      <c r="Y4" s="34" t="s">
        <v>33</v>
      </c>
      <c r="Z4" s="18" t="s">
        <v>109</v>
      </c>
      <c r="AA4" s="12" t="s">
        <v>37</v>
      </c>
      <c r="AB4" s="10">
        <v>46086.0</v>
      </c>
      <c r="AC4" s="11" t="s">
        <v>33</v>
      </c>
    </row>
    <row r="5" ht="22.5" customHeight="1">
      <c r="A5" s="29">
        <v>2.0</v>
      </c>
      <c r="B5" s="16">
        <v>1.0</v>
      </c>
      <c r="C5" s="33" t="s">
        <v>110</v>
      </c>
      <c r="D5" s="21" t="s">
        <v>45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0.2</v>
      </c>
      <c r="G5" s="18" t="s">
        <v>111</v>
      </c>
      <c r="H5" s="9" t="s">
        <v>101</v>
      </c>
      <c r="I5" s="10">
        <v>46071.0</v>
      </c>
      <c r="J5" s="11" t="s">
        <v>33</v>
      </c>
      <c r="K5" s="12" t="s">
        <v>34</v>
      </c>
      <c r="L5" s="10">
        <v>46072.0</v>
      </c>
      <c r="M5" s="11" t="s">
        <v>35</v>
      </c>
      <c r="N5" s="12"/>
      <c r="O5" s="10"/>
      <c r="P5" s="11"/>
      <c r="Q5" s="12" t="s">
        <v>102</v>
      </c>
      <c r="R5" s="10">
        <v>46084.0</v>
      </c>
      <c r="S5" s="27"/>
      <c r="T5" s="12"/>
      <c r="U5" s="10"/>
      <c r="V5" s="27"/>
      <c r="W5" s="12" t="s">
        <v>47</v>
      </c>
      <c r="X5" s="10">
        <v>46075.0</v>
      </c>
      <c r="Y5" s="34"/>
      <c r="Z5" s="37"/>
      <c r="AA5" s="12" t="s">
        <v>37</v>
      </c>
      <c r="AB5" s="10">
        <v>46086.0</v>
      </c>
      <c r="AC5" s="11"/>
    </row>
    <row r="6" ht="22.5" customHeight="1">
      <c r="A6" s="29">
        <v>2.0</v>
      </c>
      <c r="B6" s="16">
        <v>1.0</v>
      </c>
      <c r="C6" s="33" t="s">
        <v>112</v>
      </c>
      <c r="D6" s="38" t="s">
        <v>64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0.8</v>
      </c>
      <c r="G6" s="18" t="s">
        <v>113</v>
      </c>
      <c r="H6" s="36" t="s">
        <v>101</v>
      </c>
      <c r="I6" s="10">
        <v>46071.0</v>
      </c>
      <c r="J6" s="11" t="s">
        <v>33</v>
      </c>
      <c r="K6" s="12" t="s">
        <v>34</v>
      </c>
      <c r="L6" s="10">
        <v>46072.0</v>
      </c>
      <c r="M6" s="11" t="s">
        <v>33</v>
      </c>
      <c r="N6" s="12"/>
      <c r="O6" s="10"/>
      <c r="P6" s="11" t="s">
        <v>35</v>
      </c>
      <c r="Q6" s="12" t="s">
        <v>102</v>
      </c>
      <c r="R6" s="10">
        <v>46084.0</v>
      </c>
      <c r="S6" s="27"/>
      <c r="T6" s="12"/>
      <c r="U6" s="10"/>
      <c r="V6" s="27"/>
      <c r="W6" s="12" t="s">
        <v>47</v>
      </c>
      <c r="X6" s="10">
        <v>46076.0</v>
      </c>
      <c r="Y6" s="34" t="s">
        <v>33</v>
      </c>
      <c r="Z6" s="18" t="s">
        <v>114</v>
      </c>
      <c r="AA6" s="12" t="s">
        <v>37</v>
      </c>
      <c r="AB6" s="10">
        <v>46086.0</v>
      </c>
      <c r="AC6" s="11" t="s">
        <v>33</v>
      </c>
    </row>
    <row r="7" ht="22.5" customHeight="1">
      <c r="A7" s="29">
        <v>2.0</v>
      </c>
      <c r="B7" s="30">
        <v>2.0</v>
      </c>
      <c r="C7" s="30" t="s">
        <v>115</v>
      </c>
      <c r="D7" s="6" t="s">
        <v>30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0.5</v>
      </c>
      <c r="G7" s="24" t="s">
        <v>116</v>
      </c>
      <c r="H7" s="9" t="s">
        <v>101</v>
      </c>
      <c r="I7" s="10">
        <v>46079.0</v>
      </c>
      <c r="J7" s="11" t="s">
        <v>33</v>
      </c>
      <c r="K7" s="12" t="s">
        <v>34</v>
      </c>
      <c r="L7" s="10">
        <v>46080.0</v>
      </c>
      <c r="M7" s="11" t="s">
        <v>33</v>
      </c>
      <c r="N7" s="12"/>
      <c r="O7" s="10"/>
      <c r="P7" s="11" t="s">
        <v>35</v>
      </c>
      <c r="Q7" s="12" t="s">
        <v>102</v>
      </c>
      <c r="R7" s="10">
        <v>46084.0</v>
      </c>
      <c r="S7" s="27"/>
      <c r="T7" s="12"/>
      <c r="U7" s="10"/>
      <c r="V7" s="27"/>
      <c r="W7" s="12"/>
      <c r="X7" s="10">
        <v>46085.0</v>
      </c>
      <c r="Y7" s="34" t="s">
        <v>33</v>
      </c>
      <c r="Z7" s="15" t="s">
        <v>117</v>
      </c>
      <c r="AA7" s="12" t="s">
        <v>37</v>
      </c>
      <c r="AB7" s="10">
        <v>46086.0</v>
      </c>
      <c r="AC7" s="11" t="s">
        <v>35</v>
      </c>
    </row>
    <row r="8" ht="22.5" customHeight="1">
      <c r="A8" s="29">
        <v>2.0</v>
      </c>
      <c r="B8" s="33">
        <v>2.0</v>
      </c>
      <c r="C8" s="33" t="s">
        <v>118</v>
      </c>
      <c r="D8" s="17" t="s">
        <v>30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0.5</v>
      </c>
      <c r="G8" s="20" t="s">
        <v>119</v>
      </c>
      <c r="H8" s="9" t="s">
        <v>101</v>
      </c>
      <c r="I8" s="10">
        <v>46079.0</v>
      </c>
      <c r="J8" s="11" t="s">
        <v>33</v>
      </c>
      <c r="K8" s="12" t="s">
        <v>34</v>
      </c>
      <c r="L8" s="10">
        <v>46080.0</v>
      </c>
      <c r="M8" s="11" t="s">
        <v>33</v>
      </c>
      <c r="N8" s="12"/>
      <c r="O8" s="10"/>
      <c r="P8" s="11" t="s">
        <v>35</v>
      </c>
      <c r="Q8" s="12" t="s">
        <v>102</v>
      </c>
      <c r="R8" s="10">
        <v>46084.0</v>
      </c>
      <c r="S8" s="27"/>
      <c r="T8" s="12"/>
      <c r="U8" s="10"/>
      <c r="V8" s="27"/>
      <c r="W8" s="12"/>
      <c r="X8" s="10">
        <v>46085.0</v>
      </c>
      <c r="Y8" s="34" t="s">
        <v>33</v>
      </c>
      <c r="Z8" s="15" t="s">
        <v>120</v>
      </c>
      <c r="AA8" s="12" t="s">
        <v>37</v>
      </c>
      <c r="AB8" s="10">
        <v>46086.0</v>
      </c>
      <c r="AC8" s="11" t="s">
        <v>35</v>
      </c>
    </row>
    <row r="9" ht="22.5" customHeight="1">
      <c r="A9" s="29">
        <v>2.0</v>
      </c>
      <c r="B9" s="33">
        <v>2.0</v>
      </c>
      <c r="C9" s="33" t="s">
        <v>121</v>
      </c>
      <c r="D9" s="35" t="s">
        <v>60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0.8</v>
      </c>
      <c r="G9" s="18" t="s">
        <v>122</v>
      </c>
      <c r="H9" s="36" t="s">
        <v>101</v>
      </c>
      <c r="I9" s="10">
        <v>46079.0</v>
      </c>
      <c r="J9" s="11" t="s">
        <v>33</v>
      </c>
      <c r="K9" s="12" t="s">
        <v>34</v>
      </c>
      <c r="L9" s="10">
        <v>46080.0</v>
      </c>
      <c r="M9" s="11" t="s">
        <v>33</v>
      </c>
      <c r="N9" s="12"/>
      <c r="O9" s="10"/>
      <c r="P9" s="11" t="s">
        <v>35</v>
      </c>
      <c r="Q9" s="12" t="s">
        <v>102</v>
      </c>
      <c r="R9" s="10">
        <v>46084.0</v>
      </c>
      <c r="S9" s="27"/>
      <c r="T9" s="12"/>
      <c r="U9" s="10"/>
      <c r="V9" s="27"/>
      <c r="W9" s="12" t="s">
        <v>47</v>
      </c>
      <c r="X9" s="10">
        <v>46077.0</v>
      </c>
      <c r="Y9" s="34" t="s">
        <v>33</v>
      </c>
      <c r="Z9" s="18" t="s">
        <v>123</v>
      </c>
      <c r="AA9" s="12" t="s">
        <v>37</v>
      </c>
      <c r="AB9" s="10">
        <v>46086.0</v>
      </c>
      <c r="AC9" s="11" t="s">
        <v>33</v>
      </c>
    </row>
    <row r="10" ht="22.5" customHeight="1">
      <c r="A10" s="29">
        <v>2.0</v>
      </c>
      <c r="B10" s="33">
        <v>2.0</v>
      </c>
      <c r="C10" s="33" t="s">
        <v>124</v>
      </c>
      <c r="D10" s="21" t="s">
        <v>45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0.6</v>
      </c>
      <c r="G10" s="23" t="s">
        <v>125</v>
      </c>
      <c r="H10" s="9" t="s">
        <v>101</v>
      </c>
      <c r="I10" s="10">
        <v>46079.0</v>
      </c>
      <c r="J10" s="11" t="s">
        <v>33</v>
      </c>
      <c r="K10" s="12" t="s">
        <v>34</v>
      </c>
      <c r="L10" s="10">
        <v>46080.0</v>
      </c>
      <c r="M10" s="11" t="s">
        <v>35</v>
      </c>
      <c r="N10" s="12"/>
      <c r="O10" s="10"/>
      <c r="P10" s="11"/>
      <c r="Q10" s="12" t="s">
        <v>102</v>
      </c>
      <c r="R10" s="10">
        <v>46084.0</v>
      </c>
      <c r="S10" s="27"/>
      <c r="T10" s="12"/>
      <c r="U10" s="10"/>
      <c r="V10" s="27"/>
      <c r="W10" s="12" t="s">
        <v>47</v>
      </c>
      <c r="X10" s="10">
        <v>46078.0</v>
      </c>
      <c r="Y10" s="34" t="s">
        <v>33</v>
      </c>
      <c r="Z10" s="18" t="s">
        <v>126</v>
      </c>
      <c r="AA10" s="12" t="s">
        <v>37</v>
      </c>
      <c r="AB10" s="10">
        <v>46086.0</v>
      </c>
      <c r="AC10" s="11" t="s">
        <v>33</v>
      </c>
    </row>
    <row r="11" ht="22.5" customHeight="1">
      <c r="A11" s="29">
        <v>2.0</v>
      </c>
      <c r="B11" s="33">
        <v>2.0</v>
      </c>
      <c r="C11" s="33" t="s">
        <v>127</v>
      </c>
      <c r="D11" s="38" t="s">
        <v>64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0.8</v>
      </c>
      <c r="G11" s="18" t="s">
        <v>128</v>
      </c>
      <c r="H11" s="36" t="s">
        <v>101</v>
      </c>
      <c r="I11" s="10">
        <v>46079.0</v>
      </c>
      <c r="J11" s="11" t="s">
        <v>33</v>
      </c>
      <c r="K11" s="12" t="s">
        <v>34</v>
      </c>
      <c r="L11" s="10">
        <v>46080.0</v>
      </c>
      <c r="M11" s="11" t="s">
        <v>33</v>
      </c>
      <c r="N11" s="12"/>
      <c r="O11" s="10"/>
      <c r="P11" s="11" t="s">
        <v>35</v>
      </c>
      <c r="Q11" s="12" t="s">
        <v>102</v>
      </c>
      <c r="R11" s="10">
        <v>46084.0</v>
      </c>
      <c r="S11" s="27"/>
      <c r="T11" s="12"/>
      <c r="U11" s="10"/>
      <c r="V11" s="27"/>
      <c r="W11" s="12" t="s">
        <v>47</v>
      </c>
      <c r="X11" s="10">
        <v>46079.0</v>
      </c>
      <c r="Y11" s="34" t="s">
        <v>33</v>
      </c>
      <c r="Z11" s="18" t="s">
        <v>129</v>
      </c>
      <c r="AA11" s="12" t="s">
        <v>37</v>
      </c>
      <c r="AB11" s="10">
        <v>46086.0</v>
      </c>
      <c r="AC11" s="11" t="s">
        <v>33</v>
      </c>
    </row>
    <row r="12" ht="22.5" customHeight="1">
      <c r="A12" s="29">
        <v>2.0</v>
      </c>
      <c r="B12" s="39">
        <v>3.0</v>
      </c>
      <c r="C12" s="33" t="s">
        <v>130</v>
      </c>
      <c r="D12" s="38" t="s">
        <v>30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0.5</v>
      </c>
      <c r="G12" s="18" t="s">
        <v>131</v>
      </c>
      <c r="H12" s="9" t="s">
        <v>101</v>
      </c>
      <c r="I12" s="10">
        <v>46079.0</v>
      </c>
      <c r="J12" s="11" t="s">
        <v>33</v>
      </c>
      <c r="K12" s="12" t="s">
        <v>34</v>
      </c>
      <c r="L12" s="10">
        <v>46080.0</v>
      </c>
      <c r="M12" s="11" t="s">
        <v>33</v>
      </c>
      <c r="N12" s="12"/>
      <c r="O12" s="10"/>
      <c r="P12" s="11" t="s">
        <v>35</v>
      </c>
      <c r="Q12" s="12" t="s">
        <v>102</v>
      </c>
      <c r="R12" s="10">
        <v>46084.0</v>
      </c>
      <c r="S12" s="27"/>
      <c r="T12" s="12"/>
      <c r="U12" s="10"/>
      <c r="V12" s="27"/>
      <c r="W12" s="12"/>
      <c r="X12" s="10">
        <v>46085.0</v>
      </c>
      <c r="Y12" s="34" t="s">
        <v>33</v>
      </c>
      <c r="Z12" s="15" t="s">
        <v>132</v>
      </c>
      <c r="AA12" s="12" t="s">
        <v>37</v>
      </c>
      <c r="AB12" s="10">
        <v>46086.0</v>
      </c>
      <c r="AC12" s="11" t="s">
        <v>35</v>
      </c>
    </row>
    <row r="13" ht="22.5" customHeight="1">
      <c r="A13" s="29">
        <v>2.0</v>
      </c>
      <c r="B13" s="39">
        <v>3.0</v>
      </c>
      <c r="C13" s="30" t="s">
        <v>133</v>
      </c>
      <c r="D13" s="40" t="s">
        <v>30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0.5</v>
      </c>
      <c r="G13" s="18" t="s">
        <v>134</v>
      </c>
      <c r="H13" s="9" t="s">
        <v>101</v>
      </c>
      <c r="I13" s="10">
        <v>46079.0</v>
      </c>
      <c r="J13" s="11" t="s">
        <v>33</v>
      </c>
      <c r="K13" s="12" t="s">
        <v>34</v>
      </c>
      <c r="L13" s="10">
        <v>46080.0</v>
      </c>
      <c r="M13" s="11" t="s">
        <v>33</v>
      </c>
      <c r="N13" s="12"/>
      <c r="O13" s="10"/>
      <c r="P13" s="11" t="s">
        <v>35</v>
      </c>
      <c r="Q13" s="12" t="s">
        <v>102</v>
      </c>
      <c r="R13" s="10">
        <v>46084.0</v>
      </c>
      <c r="S13" s="27"/>
      <c r="T13" s="12"/>
      <c r="U13" s="10"/>
      <c r="V13" s="27"/>
      <c r="W13" s="12"/>
      <c r="X13" s="10">
        <v>46085.0</v>
      </c>
      <c r="Y13" s="34" t="s">
        <v>33</v>
      </c>
      <c r="Z13" s="15" t="s">
        <v>135</v>
      </c>
      <c r="AA13" s="12" t="s">
        <v>37</v>
      </c>
      <c r="AB13" s="10">
        <v>46086.0</v>
      </c>
      <c r="AC13" s="11" t="s">
        <v>35</v>
      </c>
    </row>
    <row r="14" ht="22.5" customHeight="1">
      <c r="A14" s="25">
        <v>2.0</v>
      </c>
      <c r="B14" s="39">
        <v>3.0</v>
      </c>
      <c r="C14" s="41" t="s">
        <v>136</v>
      </c>
      <c r="D14" s="42" t="s">
        <v>60</v>
      </c>
      <c r="E14" s="43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0.8</v>
      </c>
      <c r="G14" s="44" t="s">
        <v>137</v>
      </c>
      <c r="H14" s="45" t="s">
        <v>101</v>
      </c>
      <c r="I14" s="10">
        <v>46079.0</v>
      </c>
      <c r="J14" s="46" t="s">
        <v>33</v>
      </c>
      <c r="K14" s="5" t="s">
        <v>34</v>
      </c>
      <c r="L14" s="10">
        <v>46080.0</v>
      </c>
      <c r="M14" s="46" t="s">
        <v>33</v>
      </c>
      <c r="N14" s="47"/>
      <c r="O14" s="48"/>
      <c r="P14" s="49" t="s">
        <v>35</v>
      </c>
      <c r="Q14" s="12" t="s">
        <v>102</v>
      </c>
      <c r="R14" s="10">
        <v>46084.0</v>
      </c>
      <c r="S14" s="50"/>
      <c r="T14" s="47"/>
      <c r="U14" s="48"/>
      <c r="V14" s="50"/>
      <c r="W14" s="12" t="s">
        <v>47</v>
      </c>
      <c r="X14" s="10">
        <v>46080.0</v>
      </c>
      <c r="Y14" s="51" t="s">
        <v>33</v>
      </c>
      <c r="Z14" s="52" t="s">
        <v>138</v>
      </c>
      <c r="AA14" s="5" t="s">
        <v>37</v>
      </c>
      <c r="AB14" s="10">
        <v>46086.0</v>
      </c>
      <c r="AC14" s="46" t="s">
        <v>33</v>
      </c>
    </row>
    <row r="15" ht="22.5" customHeight="1">
      <c r="A15" s="29">
        <v>2.0</v>
      </c>
      <c r="B15" s="39">
        <v>3.0</v>
      </c>
      <c r="C15" s="30" t="s">
        <v>139</v>
      </c>
      <c r="D15" s="38" t="s">
        <v>45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0.6</v>
      </c>
      <c r="G15" s="18" t="s">
        <v>140</v>
      </c>
      <c r="H15" s="9" t="s">
        <v>101</v>
      </c>
      <c r="I15" s="10">
        <v>46079.0</v>
      </c>
      <c r="J15" s="11" t="s">
        <v>33</v>
      </c>
      <c r="K15" s="12" t="s">
        <v>34</v>
      </c>
      <c r="L15" s="10">
        <v>46080.0</v>
      </c>
      <c r="M15" s="11" t="s">
        <v>35</v>
      </c>
      <c r="N15" s="12"/>
      <c r="O15" s="10"/>
      <c r="P15" s="11"/>
      <c r="Q15" s="12" t="s">
        <v>102</v>
      </c>
      <c r="R15" s="10">
        <v>46084.0</v>
      </c>
      <c r="S15" s="27"/>
      <c r="T15" s="12"/>
      <c r="U15" s="10"/>
      <c r="V15" s="27"/>
      <c r="W15" s="12" t="s">
        <v>47</v>
      </c>
      <c r="X15" s="10">
        <v>46081.0</v>
      </c>
      <c r="Y15" s="34" t="s">
        <v>33</v>
      </c>
      <c r="Z15" s="18" t="s">
        <v>141</v>
      </c>
      <c r="AA15" s="12" t="s">
        <v>37</v>
      </c>
      <c r="AB15" s="10">
        <v>46086.0</v>
      </c>
      <c r="AC15" s="11" t="s">
        <v>33</v>
      </c>
    </row>
    <row r="16" ht="22.5" customHeight="1">
      <c r="A16" s="29">
        <v>2.0</v>
      </c>
      <c r="B16" s="33">
        <v>3.0</v>
      </c>
      <c r="C16" s="33" t="s">
        <v>142</v>
      </c>
      <c r="D16" s="38" t="s">
        <v>64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0.8</v>
      </c>
      <c r="G16" s="18" t="s">
        <v>143</v>
      </c>
      <c r="H16" s="36" t="s">
        <v>101</v>
      </c>
      <c r="I16" s="10">
        <v>46079.0</v>
      </c>
      <c r="J16" s="11" t="s">
        <v>33</v>
      </c>
      <c r="K16" s="12" t="s">
        <v>34</v>
      </c>
      <c r="L16" s="10">
        <v>46080.0</v>
      </c>
      <c r="M16" s="11" t="s">
        <v>33</v>
      </c>
      <c r="N16" s="12"/>
      <c r="O16" s="10"/>
      <c r="P16" s="11" t="s">
        <v>35</v>
      </c>
      <c r="Q16" s="12" t="s">
        <v>102</v>
      </c>
      <c r="R16" s="10">
        <v>46084.0</v>
      </c>
      <c r="S16" s="27"/>
      <c r="T16" s="12"/>
      <c r="U16" s="10"/>
      <c r="V16" s="27"/>
      <c r="W16" s="12" t="s">
        <v>47</v>
      </c>
      <c r="X16" s="10">
        <v>46082.0</v>
      </c>
      <c r="Y16" s="34" t="s">
        <v>33</v>
      </c>
      <c r="Z16" s="18" t="s">
        <v>144</v>
      </c>
      <c r="AA16" s="12" t="s">
        <v>37</v>
      </c>
      <c r="AB16" s="10">
        <v>46086.0</v>
      </c>
      <c r="AC16" s="11" t="s">
        <v>33</v>
      </c>
    </row>
    <row r="17" ht="22.5" customHeight="1">
      <c r="A17" s="29">
        <v>2.0</v>
      </c>
      <c r="B17" s="39">
        <v>3.0</v>
      </c>
      <c r="C17" s="30" t="s">
        <v>145</v>
      </c>
      <c r="D17" s="38" t="s">
        <v>56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0.8</v>
      </c>
      <c r="G17" s="18" t="s">
        <v>146</v>
      </c>
      <c r="H17" s="36" t="s">
        <v>101</v>
      </c>
      <c r="I17" s="10">
        <v>46079.0</v>
      </c>
      <c r="J17" s="11" t="s">
        <v>33</v>
      </c>
      <c r="K17" s="12" t="s">
        <v>34</v>
      </c>
      <c r="L17" s="10">
        <v>46080.0</v>
      </c>
      <c r="M17" s="11" t="s">
        <v>33</v>
      </c>
      <c r="N17" s="12"/>
      <c r="O17" s="10"/>
      <c r="P17" s="11" t="s">
        <v>35</v>
      </c>
      <c r="Q17" s="12" t="s">
        <v>102</v>
      </c>
      <c r="R17" s="10">
        <v>46084.0</v>
      </c>
      <c r="S17" s="27"/>
      <c r="T17" s="12"/>
      <c r="U17" s="10"/>
      <c r="V17" s="27"/>
      <c r="W17" s="12" t="s">
        <v>47</v>
      </c>
      <c r="X17" s="10">
        <v>46083.0</v>
      </c>
      <c r="Y17" s="34" t="s">
        <v>33</v>
      </c>
      <c r="Z17" s="18" t="s">
        <v>147</v>
      </c>
      <c r="AA17" s="12" t="s">
        <v>37</v>
      </c>
      <c r="AB17" s="10">
        <v>46086.0</v>
      </c>
      <c r="AC17" s="11" t="s">
        <v>33</v>
      </c>
    </row>
    <row r="18" ht="22.5" customHeight="1">
      <c r="A18" s="29">
        <v>2.0</v>
      </c>
      <c r="B18" s="39">
        <v>3.0</v>
      </c>
      <c r="C18" s="30" t="s">
        <v>148</v>
      </c>
      <c r="D18" s="38" t="s">
        <v>149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0.5</v>
      </c>
      <c r="G18" s="37"/>
      <c r="H18" s="36" t="s">
        <v>101</v>
      </c>
      <c r="I18" s="10">
        <v>46079.0</v>
      </c>
      <c r="J18" s="11" t="s">
        <v>33</v>
      </c>
      <c r="K18" s="12" t="s">
        <v>34</v>
      </c>
      <c r="L18" s="10">
        <v>46080.0</v>
      </c>
      <c r="M18" s="11" t="s">
        <v>33</v>
      </c>
      <c r="N18" s="12"/>
      <c r="O18" s="10"/>
      <c r="P18" s="11" t="s">
        <v>35</v>
      </c>
      <c r="Q18" s="12" t="s">
        <v>102</v>
      </c>
      <c r="R18" s="10">
        <v>46084.0</v>
      </c>
      <c r="S18" s="27"/>
      <c r="T18" s="12"/>
      <c r="U18" s="10"/>
      <c r="V18" s="27"/>
      <c r="W18" s="12"/>
      <c r="X18" s="10">
        <v>46085.0</v>
      </c>
      <c r="Y18" s="34" t="s">
        <v>33</v>
      </c>
      <c r="Z18" s="15" t="s">
        <v>150</v>
      </c>
      <c r="AA18" s="12" t="s">
        <v>37</v>
      </c>
      <c r="AB18" s="10">
        <v>46086.0</v>
      </c>
      <c r="AC18" s="11" t="s">
        <v>35</v>
      </c>
    </row>
    <row r="19" ht="22.5" customHeight="1">
      <c r="A19" s="29">
        <v>2.0</v>
      </c>
      <c r="B19" s="39">
        <v>3.0</v>
      </c>
      <c r="C19" s="30" t="s">
        <v>151</v>
      </c>
      <c r="D19" s="38" t="s">
        <v>95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0.8</v>
      </c>
      <c r="G19" s="18" t="s">
        <v>152</v>
      </c>
      <c r="H19" s="36" t="s">
        <v>101</v>
      </c>
      <c r="I19" s="10">
        <v>46079.0</v>
      </c>
      <c r="J19" s="11" t="s">
        <v>33</v>
      </c>
      <c r="K19" s="12" t="s">
        <v>34</v>
      </c>
      <c r="L19" s="10">
        <v>46080.0</v>
      </c>
      <c r="M19" s="11" t="s">
        <v>33</v>
      </c>
      <c r="N19" s="12"/>
      <c r="O19" s="10"/>
      <c r="P19" s="11" t="s">
        <v>35</v>
      </c>
      <c r="Q19" s="12" t="s">
        <v>102</v>
      </c>
      <c r="R19" s="10">
        <v>46084.0</v>
      </c>
      <c r="S19" s="27"/>
      <c r="T19" s="12"/>
      <c r="U19" s="10"/>
      <c r="V19" s="27"/>
      <c r="W19" s="12" t="s">
        <v>47</v>
      </c>
      <c r="X19" s="10">
        <v>46084.0</v>
      </c>
      <c r="Y19" s="34" t="s">
        <v>33</v>
      </c>
      <c r="Z19" s="18" t="s">
        <v>153</v>
      </c>
      <c r="AA19" s="12" t="s">
        <v>37</v>
      </c>
      <c r="AB19" s="10">
        <v>46086.0</v>
      </c>
      <c r="AC19" s="11" t="s">
        <v>33</v>
      </c>
    </row>
  </sheetData>
  <dataValidations>
    <dataValidation type="list" allowBlank="1" sqref="P2:P19 S2:S19 Y2:Y19">
      <formula1>"Concluído,Em Andamento,Pendente,Precisa de Alteração"</formula1>
    </dataValidation>
    <dataValidation type="list" allowBlank="1" sqref="J2:J19">
      <formula1>"Concluído,Em Andamento,Pendente,Precisa de Alteração,Não há"</formula1>
    </dataValidation>
    <dataValidation type="custom" allowBlank="1" showDropDown="1" sqref="I2:I19 L2:L19 O2:O19 R2:R19 U2:U19 X2:X19 AB2:AB19">
      <formula1>OR(NOT(ISERROR(DATEVALUE(I2))), AND(ISNUMBER(I2), LEFT(CELL("format", I2))="D"))</formula1>
    </dataValidation>
    <dataValidation type="list" allowBlank="1" sqref="V2:V19">
      <formula1>"Concluído,Em Andamento,Pendente,Precisa de Alteração,Não Há"</formula1>
    </dataValidation>
    <dataValidation type="list" allowBlank="1" sqref="AC2:AC19">
      <formula1>"Concluído,Em Andamento,Pendente,Aguardando Correção"</formula1>
    </dataValidation>
    <dataValidation type="custom" allowBlank="1" showDropDown="1" sqref="F2:F19">
      <formula1>AND(ISNUMBER(F2),(NOT(OR(NOT(ISERROR(DATEVALUE(F2))), AND(ISNUMBER(F2), LEFT(CELL("format", F2))="D")))))</formula1>
    </dataValidation>
    <dataValidation type="list" allowBlank="1" sqref="M2:M19">
      <formula1>"Concluído,Em Andamento,Pendente,Aguardando Correção,Não há"</formula1>
    </dataValidation>
  </dataValidations>
  <hyperlinks>
    <hyperlink r:id="rId4" ref="G2"/>
    <hyperlink r:id="rId5" ref="H2"/>
    <hyperlink r:id="rId6" ref="Z2"/>
    <hyperlink r:id="rId7" ref="G3"/>
    <hyperlink r:id="rId8" ref="H3"/>
    <hyperlink r:id="rId9" ref="Z3"/>
    <hyperlink r:id="rId10" ref="G4"/>
    <hyperlink r:id="rId11" ref="H4"/>
    <hyperlink r:id="rId12" ref="Z4"/>
    <hyperlink r:id="rId13" ref="G5"/>
    <hyperlink r:id="rId14" ref="H5"/>
    <hyperlink r:id="rId15" ref="G6"/>
    <hyperlink r:id="rId16" ref="H6"/>
    <hyperlink r:id="rId17" ref="Z6"/>
    <hyperlink r:id="rId18" ref="G7"/>
    <hyperlink r:id="rId19" ref="H7"/>
    <hyperlink r:id="rId20" ref="Z7"/>
    <hyperlink r:id="rId21" ref="G8"/>
    <hyperlink r:id="rId22" ref="H8"/>
    <hyperlink r:id="rId23" ref="Z8"/>
    <hyperlink r:id="rId24" ref="G9"/>
    <hyperlink r:id="rId25" ref="H9"/>
    <hyperlink r:id="rId26" ref="Z9"/>
    <hyperlink r:id="rId27" ref="G10"/>
    <hyperlink r:id="rId28" ref="H10"/>
    <hyperlink r:id="rId29" ref="Z10"/>
    <hyperlink r:id="rId30" ref="G11"/>
    <hyperlink r:id="rId31" ref="H11"/>
    <hyperlink r:id="rId32" ref="Z11"/>
    <hyperlink r:id="rId33" ref="G12"/>
    <hyperlink r:id="rId34" ref="H12"/>
    <hyperlink r:id="rId35" ref="Z12"/>
    <hyperlink r:id="rId36" ref="G13"/>
    <hyperlink r:id="rId37" ref="H13"/>
    <hyperlink r:id="rId38" ref="Z13"/>
    <hyperlink r:id="rId39" ref="G14"/>
    <hyperlink r:id="rId40" ref="H14"/>
    <hyperlink r:id="rId41" ref="Z14"/>
    <hyperlink r:id="rId42" ref="G15"/>
    <hyperlink r:id="rId43" ref="H15"/>
    <hyperlink r:id="rId44" ref="Z15"/>
    <hyperlink r:id="rId45" ref="G16"/>
    <hyperlink r:id="rId46" ref="H16"/>
    <hyperlink r:id="rId47" ref="Z16"/>
    <hyperlink r:id="rId48" ref="G17"/>
    <hyperlink r:id="rId49" ref="H17"/>
    <hyperlink r:id="rId50" ref="Z17"/>
    <hyperlink r:id="rId51" ref="H18"/>
    <hyperlink r:id="rId52" ref="Z18"/>
    <hyperlink r:id="rId53" ref="G19"/>
    <hyperlink r:id="rId54" ref="H19"/>
    <hyperlink r:id="rId55" ref="Z19"/>
  </hyperlinks>
  <drawing r:id="rId56"/>
  <legacyDrawing r:id="rId57"/>
  <tableParts count="1">
    <tablePart r:id="rId5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3.0"/>
    <col customWidth="1" min="2" max="2" width="10.63"/>
    <col customWidth="1" min="3" max="3" width="19.13"/>
    <col customWidth="1" min="4" max="4" width="20.38"/>
    <col customWidth="1" min="5" max="5" width="24.38"/>
    <col customWidth="1" min="6" max="6" width="6.75"/>
    <col customWidth="1" min="7" max="7" width="27.0"/>
    <col customWidth="1" min="8" max="8" width="17.75"/>
    <col customWidth="1" min="9" max="9" width="20.13"/>
    <col customWidth="1" min="10" max="10" width="21.75"/>
    <col customWidth="1" min="11" max="11" width="16.25"/>
    <col customWidth="1" min="12" max="12" width="20.13"/>
    <col customWidth="1" min="13" max="13" width="21.75"/>
    <col customWidth="1" min="14" max="14" width="16.63"/>
    <col customWidth="1" min="15" max="15" width="20.13"/>
    <col customWidth="1" min="16" max="17" width="21.75"/>
    <col customWidth="1" min="18" max="18" width="20.13"/>
    <col customWidth="1" min="19" max="19" width="21.75"/>
    <col customWidth="1" min="20" max="20" width="16.25"/>
    <col customWidth="1" min="21" max="21" width="20.13"/>
    <col customWidth="1" min="22" max="22" width="21.75"/>
    <col customWidth="1" min="23" max="23" width="16.25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5">
        <v>3.0</v>
      </c>
      <c r="B2" s="25">
        <v>1.0</v>
      </c>
      <c r="C2" s="5" t="s">
        <v>154</v>
      </c>
      <c r="D2" s="22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42" si="1">IF(OR(D2="ROTEIRO DE VÍDEO", D2="VÍDEO"), (IF(J2="Concluído", 1, 0) + IF(Y2="Concluído", 1, 0) + IF(AC2="Concluído", 1, 0)) / 3,
IF(OR(D2="SLIDE", D2="FÓRUM", D2="PLANO DE AULA", D2="QUIZ", D2="TAREFA", D2="EBOOK", D2="PDF(AVULSO)"), (IF(J2="Concluído", 1, 0) + IF(Y2="Concluído", 1, 0) + IF(AC2="Concluído", 1, 0)) / 3))</f>
        <v>1</v>
      </c>
      <c r="G2" s="9" t="s">
        <v>155</v>
      </c>
      <c r="H2" s="36" t="s">
        <v>156</v>
      </c>
      <c r="I2" s="10"/>
      <c r="J2" s="11" t="s">
        <v>33</v>
      </c>
      <c r="K2" s="12" t="s">
        <v>34</v>
      </c>
      <c r="L2" s="10"/>
      <c r="M2" s="11" t="s">
        <v>35</v>
      </c>
      <c r="N2" s="12"/>
      <c r="O2" s="10"/>
      <c r="P2" s="31"/>
      <c r="Q2" s="14"/>
      <c r="R2" s="10"/>
      <c r="S2" s="31"/>
      <c r="T2" s="12"/>
      <c r="U2" s="10"/>
      <c r="V2" s="31"/>
      <c r="W2" s="12"/>
      <c r="X2" s="10">
        <v>46085.0</v>
      </c>
      <c r="Y2" s="13" t="s">
        <v>33</v>
      </c>
      <c r="Z2" s="15" t="s">
        <v>157</v>
      </c>
      <c r="AA2" s="12" t="s">
        <v>37</v>
      </c>
      <c r="AB2" s="10">
        <v>46086.0</v>
      </c>
      <c r="AC2" s="11" t="s">
        <v>33</v>
      </c>
    </row>
    <row r="3" ht="22.5" customHeight="1">
      <c r="A3" s="16">
        <v>3.0</v>
      </c>
      <c r="B3" s="26">
        <v>1.0</v>
      </c>
      <c r="C3" s="16" t="s">
        <v>158</v>
      </c>
      <c r="D3" s="21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1</v>
      </c>
      <c r="G3" s="18" t="s">
        <v>159</v>
      </c>
      <c r="H3" s="36" t="s">
        <v>156</v>
      </c>
      <c r="I3" s="10"/>
      <c r="J3" s="11" t="s">
        <v>33</v>
      </c>
      <c r="K3" s="12" t="s">
        <v>34</v>
      </c>
      <c r="L3" s="10"/>
      <c r="M3" s="11" t="s">
        <v>35</v>
      </c>
      <c r="N3" s="12"/>
      <c r="O3" s="10"/>
      <c r="P3" s="27"/>
      <c r="Q3" s="14"/>
      <c r="R3" s="10"/>
      <c r="S3" s="27"/>
      <c r="T3" s="12"/>
      <c r="U3" s="10"/>
      <c r="V3" s="27"/>
      <c r="W3" s="12"/>
      <c r="X3" s="10">
        <v>46085.0</v>
      </c>
      <c r="Y3" s="11" t="s">
        <v>33</v>
      </c>
      <c r="Z3" s="15" t="s">
        <v>160</v>
      </c>
      <c r="AA3" s="12" t="s">
        <v>37</v>
      </c>
      <c r="AB3" s="10">
        <v>46086.0</v>
      </c>
      <c r="AC3" s="11" t="s">
        <v>33</v>
      </c>
    </row>
    <row r="4" ht="22.5" customHeight="1">
      <c r="A4" s="5">
        <v>3.0</v>
      </c>
      <c r="B4" s="25">
        <v>1.0</v>
      </c>
      <c r="C4" s="5" t="s">
        <v>161</v>
      </c>
      <c r="D4" s="22" t="s">
        <v>30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1</v>
      </c>
      <c r="G4" s="20" t="s">
        <v>162</v>
      </c>
      <c r="H4" s="36" t="s">
        <v>156</v>
      </c>
      <c r="I4" s="10"/>
      <c r="J4" s="11" t="s">
        <v>33</v>
      </c>
      <c r="K4" s="12" t="s">
        <v>34</v>
      </c>
      <c r="L4" s="10"/>
      <c r="M4" s="11" t="s">
        <v>35</v>
      </c>
      <c r="N4" s="12"/>
      <c r="O4" s="10"/>
      <c r="P4" s="27"/>
      <c r="Q4" s="14"/>
      <c r="R4" s="10"/>
      <c r="S4" s="27"/>
      <c r="T4" s="12"/>
      <c r="U4" s="10"/>
      <c r="V4" s="27"/>
      <c r="W4" s="12"/>
      <c r="X4" s="10">
        <v>46085.0</v>
      </c>
      <c r="Y4" s="11" t="s">
        <v>33</v>
      </c>
      <c r="Z4" s="18" t="s">
        <v>163</v>
      </c>
      <c r="AA4" s="12" t="s">
        <v>37</v>
      </c>
      <c r="AB4" s="10">
        <v>46086.0</v>
      </c>
      <c r="AC4" s="11" t="s">
        <v>33</v>
      </c>
    </row>
    <row r="5" ht="22.5" customHeight="1">
      <c r="A5" s="16">
        <v>3.0</v>
      </c>
      <c r="B5" s="26">
        <v>1.0</v>
      </c>
      <c r="C5" s="16" t="s">
        <v>164</v>
      </c>
      <c r="D5" s="21" t="s">
        <v>30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1</v>
      </c>
      <c r="G5" s="18" t="s">
        <v>165</v>
      </c>
      <c r="H5" s="36" t="s">
        <v>156</v>
      </c>
      <c r="I5" s="10"/>
      <c r="J5" s="11" t="s">
        <v>33</v>
      </c>
      <c r="K5" s="12" t="s">
        <v>34</v>
      </c>
      <c r="L5" s="10"/>
      <c r="M5" s="11" t="s">
        <v>35</v>
      </c>
      <c r="N5" s="12"/>
      <c r="O5" s="10"/>
      <c r="P5" s="27"/>
      <c r="Q5" s="14"/>
      <c r="R5" s="10"/>
      <c r="S5" s="27"/>
      <c r="T5" s="12"/>
      <c r="U5" s="10"/>
      <c r="V5" s="27"/>
      <c r="W5" s="12"/>
      <c r="X5" s="10">
        <v>46085.0</v>
      </c>
      <c r="Y5" s="11" t="s">
        <v>33</v>
      </c>
      <c r="Z5" s="15" t="s">
        <v>166</v>
      </c>
      <c r="AA5" s="12" t="s">
        <v>37</v>
      </c>
      <c r="AB5" s="10">
        <v>46086.0</v>
      </c>
      <c r="AC5" s="11" t="s">
        <v>33</v>
      </c>
    </row>
    <row r="6" ht="22.5" customHeight="1">
      <c r="A6" s="5">
        <v>3.0</v>
      </c>
      <c r="B6" s="25">
        <v>1.0</v>
      </c>
      <c r="C6" s="5" t="s">
        <v>167</v>
      </c>
      <c r="D6" s="22" t="s">
        <v>30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1</v>
      </c>
      <c r="G6" s="18" t="s">
        <v>168</v>
      </c>
      <c r="H6" s="36" t="s">
        <v>156</v>
      </c>
      <c r="I6" s="10"/>
      <c r="J6" s="11" t="s">
        <v>33</v>
      </c>
      <c r="K6" s="12" t="s">
        <v>34</v>
      </c>
      <c r="L6" s="10"/>
      <c r="M6" s="11" t="s">
        <v>35</v>
      </c>
      <c r="N6" s="12"/>
      <c r="O6" s="10"/>
      <c r="P6" s="27"/>
      <c r="Q6" s="14"/>
      <c r="R6" s="10"/>
      <c r="S6" s="27"/>
      <c r="T6" s="12"/>
      <c r="U6" s="10"/>
      <c r="V6" s="27"/>
      <c r="W6" s="12"/>
      <c r="X6" s="10">
        <v>46085.0</v>
      </c>
      <c r="Y6" s="11" t="s">
        <v>33</v>
      </c>
      <c r="Z6" s="18" t="s">
        <v>169</v>
      </c>
      <c r="AA6" s="12" t="s">
        <v>37</v>
      </c>
      <c r="AB6" s="10">
        <v>46086.0</v>
      </c>
      <c r="AC6" s="11" t="s">
        <v>33</v>
      </c>
    </row>
    <row r="7" ht="22.5" customHeight="1">
      <c r="A7" s="16">
        <v>3.0</v>
      </c>
      <c r="B7" s="26">
        <v>1.0</v>
      </c>
      <c r="C7" s="16" t="s">
        <v>170</v>
      </c>
      <c r="D7" s="21" t="s">
        <v>30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1</v>
      </c>
      <c r="G7" s="18" t="s">
        <v>171</v>
      </c>
      <c r="H7" s="36" t="s">
        <v>156</v>
      </c>
      <c r="I7" s="10"/>
      <c r="J7" s="11" t="s">
        <v>33</v>
      </c>
      <c r="K7" s="12" t="s">
        <v>34</v>
      </c>
      <c r="L7" s="10"/>
      <c r="M7" s="11" t="s">
        <v>35</v>
      </c>
      <c r="N7" s="12"/>
      <c r="O7" s="10"/>
      <c r="P7" s="27"/>
      <c r="Q7" s="14"/>
      <c r="R7" s="10"/>
      <c r="S7" s="27"/>
      <c r="T7" s="12"/>
      <c r="U7" s="10"/>
      <c r="V7" s="27"/>
      <c r="W7" s="12"/>
      <c r="X7" s="10">
        <v>46085.0</v>
      </c>
      <c r="Y7" s="11" t="s">
        <v>33</v>
      </c>
      <c r="Z7" s="18" t="s">
        <v>172</v>
      </c>
      <c r="AA7" s="12" t="s">
        <v>37</v>
      </c>
      <c r="AB7" s="10">
        <v>46086.0</v>
      </c>
      <c r="AC7" s="11" t="s">
        <v>33</v>
      </c>
    </row>
    <row r="8" ht="22.5" customHeight="1">
      <c r="A8" s="5">
        <v>3.0</v>
      </c>
      <c r="B8" s="25">
        <v>1.0</v>
      </c>
      <c r="C8" s="5" t="s">
        <v>173</v>
      </c>
      <c r="D8" s="22" t="s">
        <v>45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1</v>
      </c>
      <c r="G8" s="18" t="s">
        <v>174</v>
      </c>
      <c r="H8" s="36" t="s">
        <v>156</v>
      </c>
      <c r="I8" s="10"/>
      <c r="J8" s="11" t="s">
        <v>33</v>
      </c>
      <c r="K8" s="12" t="s">
        <v>34</v>
      </c>
      <c r="L8" s="10"/>
      <c r="M8" s="11" t="s">
        <v>35</v>
      </c>
      <c r="N8" s="12"/>
      <c r="O8" s="10"/>
      <c r="P8" s="27"/>
      <c r="Q8" s="14"/>
      <c r="R8" s="10"/>
      <c r="S8" s="27"/>
      <c r="T8" s="12"/>
      <c r="U8" s="10"/>
      <c r="V8" s="27"/>
      <c r="W8" s="12" t="s">
        <v>47</v>
      </c>
      <c r="X8" s="10">
        <v>46071.0</v>
      </c>
      <c r="Y8" s="11" t="s">
        <v>33</v>
      </c>
      <c r="Z8" s="20" t="s">
        <v>175</v>
      </c>
      <c r="AA8" s="12" t="s">
        <v>37</v>
      </c>
      <c r="AB8" s="10">
        <v>46086.0</v>
      </c>
      <c r="AC8" s="11" t="s">
        <v>33</v>
      </c>
    </row>
    <row r="9" ht="22.5" customHeight="1">
      <c r="A9" s="16">
        <v>3.0</v>
      </c>
      <c r="B9" s="26">
        <v>1.0</v>
      </c>
      <c r="C9" s="16" t="s">
        <v>176</v>
      </c>
      <c r="D9" s="21" t="s">
        <v>45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1</v>
      </c>
      <c r="G9" s="24" t="s">
        <v>177</v>
      </c>
      <c r="H9" s="36" t="s">
        <v>156</v>
      </c>
      <c r="I9" s="10"/>
      <c r="J9" s="11" t="s">
        <v>33</v>
      </c>
      <c r="K9" s="12" t="s">
        <v>34</v>
      </c>
      <c r="L9" s="10"/>
      <c r="M9" s="11" t="s">
        <v>35</v>
      </c>
      <c r="N9" s="12"/>
      <c r="O9" s="10"/>
      <c r="P9" s="27"/>
      <c r="Q9" s="14"/>
      <c r="R9" s="10"/>
      <c r="S9" s="27"/>
      <c r="T9" s="12"/>
      <c r="U9" s="10"/>
      <c r="V9" s="27"/>
      <c r="W9" s="12" t="s">
        <v>47</v>
      </c>
      <c r="X9" s="10">
        <v>46072.0</v>
      </c>
      <c r="Y9" s="11" t="s">
        <v>33</v>
      </c>
      <c r="Z9" s="24" t="s">
        <v>178</v>
      </c>
      <c r="AA9" s="12" t="s">
        <v>37</v>
      </c>
      <c r="AB9" s="10">
        <v>46086.0</v>
      </c>
      <c r="AC9" s="11" t="s">
        <v>33</v>
      </c>
    </row>
    <row r="10" ht="22.5" customHeight="1">
      <c r="A10" s="5">
        <v>3.0</v>
      </c>
      <c r="B10" s="25">
        <v>1.0</v>
      </c>
      <c r="C10" s="5" t="s">
        <v>179</v>
      </c>
      <c r="D10" s="22" t="s">
        <v>45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1</v>
      </c>
      <c r="G10" s="20" t="s">
        <v>180</v>
      </c>
      <c r="H10" s="36" t="s">
        <v>156</v>
      </c>
      <c r="I10" s="10"/>
      <c r="J10" s="11" t="s">
        <v>33</v>
      </c>
      <c r="K10" s="12" t="s">
        <v>34</v>
      </c>
      <c r="L10" s="10"/>
      <c r="M10" s="11" t="s">
        <v>35</v>
      </c>
      <c r="N10" s="12"/>
      <c r="O10" s="10"/>
      <c r="P10" s="27"/>
      <c r="Q10" s="14"/>
      <c r="R10" s="10"/>
      <c r="S10" s="27"/>
      <c r="T10" s="12"/>
      <c r="U10" s="10"/>
      <c r="V10" s="27"/>
      <c r="W10" s="12" t="s">
        <v>47</v>
      </c>
      <c r="X10" s="10">
        <v>46073.0</v>
      </c>
      <c r="Y10" s="11" t="s">
        <v>33</v>
      </c>
      <c r="Z10" s="20" t="s">
        <v>181</v>
      </c>
      <c r="AA10" s="12" t="s">
        <v>37</v>
      </c>
      <c r="AB10" s="10">
        <v>46086.0</v>
      </c>
      <c r="AC10" s="11" t="s">
        <v>33</v>
      </c>
    </row>
    <row r="11" ht="22.5" customHeight="1">
      <c r="A11" s="16">
        <v>3.0</v>
      </c>
      <c r="B11" s="26">
        <v>1.0</v>
      </c>
      <c r="C11" s="16" t="s">
        <v>182</v>
      </c>
      <c r="D11" s="21" t="s">
        <v>45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1</v>
      </c>
      <c r="G11" s="20" t="s">
        <v>183</v>
      </c>
      <c r="H11" s="36" t="s">
        <v>156</v>
      </c>
      <c r="I11" s="10"/>
      <c r="J11" s="11" t="s">
        <v>33</v>
      </c>
      <c r="K11" s="12" t="s">
        <v>34</v>
      </c>
      <c r="L11" s="10"/>
      <c r="M11" s="11" t="s">
        <v>35</v>
      </c>
      <c r="N11" s="12"/>
      <c r="O11" s="10"/>
      <c r="P11" s="27"/>
      <c r="Q11" s="14"/>
      <c r="R11" s="10"/>
      <c r="S11" s="27"/>
      <c r="T11" s="12"/>
      <c r="U11" s="10"/>
      <c r="V11" s="27"/>
      <c r="W11" s="12" t="s">
        <v>47</v>
      </c>
      <c r="X11" s="10">
        <v>46074.0</v>
      </c>
      <c r="Y11" s="11" t="s">
        <v>33</v>
      </c>
      <c r="Z11" s="20" t="s">
        <v>184</v>
      </c>
      <c r="AA11" s="12" t="s">
        <v>37</v>
      </c>
      <c r="AB11" s="10">
        <v>46086.0</v>
      </c>
      <c r="AC11" s="11" t="s">
        <v>33</v>
      </c>
    </row>
    <row r="12" ht="22.5" customHeight="1">
      <c r="A12" s="5">
        <v>3.0</v>
      </c>
      <c r="B12" s="25">
        <v>1.0</v>
      </c>
      <c r="C12" s="5" t="s">
        <v>185</v>
      </c>
      <c r="D12" s="22" t="s">
        <v>45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1</v>
      </c>
      <c r="G12" s="23" t="s">
        <v>186</v>
      </c>
      <c r="H12" s="36" t="s">
        <v>156</v>
      </c>
      <c r="I12" s="10"/>
      <c r="J12" s="11" t="s">
        <v>33</v>
      </c>
      <c r="K12" s="12" t="s">
        <v>34</v>
      </c>
      <c r="L12" s="10"/>
      <c r="M12" s="11" t="s">
        <v>35</v>
      </c>
      <c r="N12" s="12"/>
      <c r="O12" s="10"/>
      <c r="P12" s="27"/>
      <c r="Q12" s="14"/>
      <c r="R12" s="10"/>
      <c r="S12" s="27"/>
      <c r="T12" s="12"/>
      <c r="U12" s="10"/>
      <c r="V12" s="27"/>
      <c r="W12" s="12" t="s">
        <v>47</v>
      </c>
      <c r="X12" s="10">
        <v>46075.0</v>
      </c>
      <c r="Y12" s="11" t="s">
        <v>33</v>
      </c>
      <c r="Z12" s="18" t="s">
        <v>187</v>
      </c>
      <c r="AA12" s="12" t="s">
        <v>37</v>
      </c>
      <c r="AB12" s="10">
        <v>46086.0</v>
      </c>
      <c r="AC12" s="11" t="s">
        <v>33</v>
      </c>
    </row>
    <row r="13" ht="22.5" customHeight="1">
      <c r="A13" s="16">
        <v>3.0</v>
      </c>
      <c r="B13" s="26">
        <v>1.0</v>
      </c>
      <c r="C13" s="16" t="s">
        <v>188</v>
      </c>
      <c r="D13" s="21" t="s">
        <v>45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1</v>
      </c>
      <c r="G13" s="18" t="s">
        <v>189</v>
      </c>
      <c r="H13" s="36" t="s">
        <v>156</v>
      </c>
      <c r="I13" s="10"/>
      <c r="J13" s="11" t="s">
        <v>33</v>
      </c>
      <c r="K13" s="12" t="s">
        <v>34</v>
      </c>
      <c r="L13" s="10"/>
      <c r="M13" s="11" t="s">
        <v>35</v>
      </c>
      <c r="N13" s="12"/>
      <c r="O13" s="10"/>
      <c r="P13" s="27"/>
      <c r="Q13" s="14"/>
      <c r="R13" s="10"/>
      <c r="S13" s="27"/>
      <c r="T13" s="12"/>
      <c r="U13" s="10"/>
      <c r="V13" s="27"/>
      <c r="W13" s="12" t="s">
        <v>47</v>
      </c>
      <c r="X13" s="10">
        <v>46076.0</v>
      </c>
      <c r="Y13" s="11" t="s">
        <v>33</v>
      </c>
      <c r="Z13" s="18" t="s">
        <v>190</v>
      </c>
      <c r="AA13" s="12" t="s">
        <v>37</v>
      </c>
      <c r="AB13" s="10">
        <v>46086.0</v>
      </c>
      <c r="AC13" s="11" t="s">
        <v>33</v>
      </c>
    </row>
    <row r="14" ht="22.5" customHeight="1">
      <c r="A14" s="5">
        <v>3.0</v>
      </c>
      <c r="B14" s="25">
        <v>1.0</v>
      </c>
      <c r="C14" s="5" t="s">
        <v>191</v>
      </c>
      <c r="D14" s="22" t="s">
        <v>56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1</v>
      </c>
      <c r="G14" s="18" t="s">
        <v>192</v>
      </c>
      <c r="H14" s="36" t="s">
        <v>156</v>
      </c>
      <c r="I14" s="10"/>
      <c r="J14" s="11" t="s">
        <v>33</v>
      </c>
      <c r="K14" s="12" t="s">
        <v>34</v>
      </c>
      <c r="L14" s="10"/>
      <c r="M14" s="11" t="s">
        <v>35</v>
      </c>
      <c r="N14" s="12"/>
      <c r="O14" s="10"/>
      <c r="P14" s="27"/>
      <c r="Q14" s="14"/>
      <c r="R14" s="10"/>
      <c r="S14" s="27"/>
      <c r="T14" s="12"/>
      <c r="U14" s="10"/>
      <c r="V14" s="27"/>
      <c r="W14" s="12" t="s">
        <v>47</v>
      </c>
      <c r="X14" s="10">
        <v>46077.0</v>
      </c>
      <c r="Y14" s="11" t="s">
        <v>33</v>
      </c>
      <c r="Z14" s="18" t="s">
        <v>193</v>
      </c>
      <c r="AA14" s="12" t="s">
        <v>37</v>
      </c>
      <c r="AB14" s="10">
        <v>46086.0</v>
      </c>
      <c r="AC14" s="11" t="s">
        <v>33</v>
      </c>
    </row>
    <row r="15" ht="22.5" customHeight="1">
      <c r="A15" s="16">
        <v>3.0</v>
      </c>
      <c r="B15" s="26">
        <v>1.0</v>
      </c>
      <c r="C15" s="16" t="s">
        <v>194</v>
      </c>
      <c r="D15" s="21" t="s">
        <v>60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1</v>
      </c>
      <c r="G15" s="18" t="s">
        <v>195</v>
      </c>
      <c r="H15" s="36" t="s">
        <v>156</v>
      </c>
      <c r="I15" s="10"/>
      <c r="J15" s="11" t="s">
        <v>33</v>
      </c>
      <c r="K15" s="12" t="s">
        <v>34</v>
      </c>
      <c r="L15" s="10"/>
      <c r="M15" s="11" t="s">
        <v>35</v>
      </c>
      <c r="N15" s="12"/>
      <c r="O15" s="10"/>
      <c r="P15" s="27"/>
      <c r="Q15" s="14"/>
      <c r="R15" s="10"/>
      <c r="S15" s="27"/>
      <c r="T15" s="12"/>
      <c r="U15" s="10"/>
      <c r="V15" s="27"/>
      <c r="W15" s="12" t="s">
        <v>47</v>
      </c>
      <c r="X15" s="10">
        <v>46078.0</v>
      </c>
      <c r="Y15" s="11" t="s">
        <v>33</v>
      </c>
      <c r="Z15" s="18" t="s">
        <v>196</v>
      </c>
      <c r="AA15" s="12" t="s">
        <v>37</v>
      </c>
      <c r="AB15" s="10">
        <v>46086.0</v>
      </c>
      <c r="AC15" s="11" t="s">
        <v>33</v>
      </c>
    </row>
    <row r="16" ht="22.5" customHeight="1">
      <c r="A16" s="5">
        <v>3.0</v>
      </c>
      <c r="B16" s="25">
        <v>1.0</v>
      </c>
      <c r="C16" s="5" t="s">
        <v>197</v>
      </c>
      <c r="D16" s="22" t="s">
        <v>149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1</v>
      </c>
      <c r="H16" s="36" t="s">
        <v>156</v>
      </c>
      <c r="I16" s="10"/>
      <c r="J16" s="11" t="s">
        <v>33</v>
      </c>
      <c r="K16" s="12" t="s">
        <v>34</v>
      </c>
      <c r="L16" s="10"/>
      <c r="M16" s="11" t="s">
        <v>35</v>
      </c>
      <c r="N16" s="12"/>
      <c r="O16" s="10"/>
      <c r="P16" s="27"/>
      <c r="Q16" s="14"/>
      <c r="R16" s="10"/>
      <c r="S16" s="27"/>
      <c r="T16" s="12"/>
      <c r="U16" s="10"/>
      <c r="V16" s="27"/>
      <c r="W16" s="12"/>
      <c r="X16" s="10">
        <v>46085.0</v>
      </c>
      <c r="Y16" s="11" t="s">
        <v>33</v>
      </c>
      <c r="Z16" s="18" t="s">
        <v>198</v>
      </c>
      <c r="AA16" s="12" t="s">
        <v>37</v>
      </c>
      <c r="AB16" s="10">
        <v>46086.0</v>
      </c>
      <c r="AC16" s="11" t="s">
        <v>33</v>
      </c>
    </row>
    <row r="17" ht="22.5" customHeight="1">
      <c r="A17" s="5">
        <v>3.0</v>
      </c>
      <c r="B17" s="25">
        <v>1.0</v>
      </c>
      <c r="C17" s="5" t="s">
        <v>199</v>
      </c>
      <c r="D17" s="22" t="s">
        <v>64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1</v>
      </c>
      <c r="G17" s="18" t="s">
        <v>200</v>
      </c>
      <c r="H17" s="36" t="s">
        <v>156</v>
      </c>
      <c r="I17" s="10"/>
      <c r="J17" s="11" t="s">
        <v>33</v>
      </c>
      <c r="K17" s="12" t="s">
        <v>34</v>
      </c>
      <c r="L17" s="10"/>
      <c r="M17" s="11" t="s">
        <v>35</v>
      </c>
      <c r="N17" s="12"/>
      <c r="O17" s="10"/>
      <c r="P17" s="27"/>
      <c r="Q17" s="14"/>
      <c r="R17" s="10"/>
      <c r="S17" s="27"/>
      <c r="T17" s="12"/>
      <c r="U17" s="10"/>
      <c r="V17" s="27"/>
      <c r="W17" s="12" t="s">
        <v>47</v>
      </c>
      <c r="X17" s="10">
        <v>46066.0</v>
      </c>
      <c r="Y17" s="11" t="s">
        <v>33</v>
      </c>
      <c r="Z17" s="18" t="s">
        <v>201</v>
      </c>
      <c r="AA17" s="12" t="s">
        <v>37</v>
      </c>
      <c r="AB17" s="10">
        <v>46086.0</v>
      </c>
      <c r="AC17" s="11" t="s">
        <v>33</v>
      </c>
    </row>
    <row r="18" ht="22.5" customHeight="1">
      <c r="A18" s="16">
        <v>3.0</v>
      </c>
      <c r="B18" s="26">
        <v>2.0</v>
      </c>
      <c r="C18" s="16" t="s">
        <v>202</v>
      </c>
      <c r="D18" s="21" t="s">
        <v>30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1</v>
      </c>
      <c r="G18" s="18" t="s">
        <v>203</v>
      </c>
      <c r="H18" s="36" t="s">
        <v>156</v>
      </c>
      <c r="I18" s="10"/>
      <c r="J18" s="11" t="s">
        <v>33</v>
      </c>
      <c r="K18" s="12" t="s">
        <v>34</v>
      </c>
      <c r="L18" s="10"/>
      <c r="M18" s="11" t="s">
        <v>35</v>
      </c>
      <c r="N18" s="12"/>
      <c r="O18" s="10"/>
      <c r="P18" s="27"/>
      <c r="Q18" s="14"/>
      <c r="R18" s="10"/>
      <c r="S18" s="27"/>
      <c r="T18" s="12"/>
      <c r="U18" s="10"/>
      <c r="V18" s="27"/>
      <c r="W18" s="12"/>
      <c r="X18" s="10">
        <v>46085.0</v>
      </c>
      <c r="Y18" s="11" t="s">
        <v>33</v>
      </c>
      <c r="Z18" s="19" t="s">
        <v>204</v>
      </c>
      <c r="AA18" s="12" t="s">
        <v>37</v>
      </c>
      <c r="AB18" s="10">
        <v>46086.0</v>
      </c>
      <c r="AC18" s="11" t="s">
        <v>33</v>
      </c>
    </row>
    <row r="19" ht="22.5" customHeight="1">
      <c r="A19" s="5">
        <v>3.0</v>
      </c>
      <c r="B19" s="25">
        <v>2.0</v>
      </c>
      <c r="C19" s="5" t="s">
        <v>205</v>
      </c>
      <c r="D19" s="22" t="s">
        <v>30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1</v>
      </c>
      <c r="G19" s="18" t="s">
        <v>206</v>
      </c>
      <c r="H19" s="36" t="s">
        <v>156</v>
      </c>
      <c r="I19" s="10"/>
      <c r="J19" s="11" t="s">
        <v>33</v>
      </c>
      <c r="K19" s="12" t="s">
        <v>34</v>
      </c>
      <c r="L19" s="10"/>
      <c r="M19" s="11" t="s">
        <v>35</v>
      </c>
      <c r="N19" s="12"/>
      <c r="O19" s="10"/>
      <c r="P19" s="27"/>
      <c r="Q19" s="14"/>
      <c r="R19" s="10"/>
      <c r="S19" s="27"/>
      <c r="T19" s="12"/>
      <c r="U19" s="10"/>
      <c r="V19" s="27"/>
      <c r="W19" s="12"/>
      <c r="X19" s="10">
        <v>46085.0</v>
      </c>
      <c r="Y19" s="11" t="s">
        <v>33</v>
      </c>
      <c r="Z19" s="18" t="s">
        <v>207</v>
      </c>
      <c r="AA19" s="12" t="s">
        <v>37</v>
      </c>
      <c r="AB19" s="10">
        <v>46086.0</v>
      </c>
      <c r="AC19" s="11" t="s">
        <v>33</v>
      </c>
    </row>
    <row r="20" ht="22.5" customHeight="1">
      <c r="A20" s="16">
        <v>3.0</v>
      </c>
      <c r="B20" s="26">
        <v>2.0</v>
      </c>
      <c r="C20" s="16" t="s">
        <v>208</v>
      </c>
      <c r="D20" s="21" t="s">
        <v>30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1</v>
      </c>
      <c r="G20" s="18" t="s">
        <v>209</v>
      </c>
      <c r="H20" s="36" t="s">
        <v>156</v>
      </c>
      <c r="I20" s="10"/>
      <c r="J20" s="11" t="s">
        <v>33</v>
      </c>
      <c r="K20" s="12" t="s">
        <v>34</v>
      </c>
      <c r="L20" s="10"/>
      <c r="M20" s="11" t="s">
        <v>35</v>
      </c>
      <c r="N20" s="12"/>
      <c r="O20" s="10"/>
      <c r="P20" s="27"/>
      <c r="Q20" s="14"/>
      <c r="R20" s="10"/>
      <c r="S20" s="27"/>
      <c r="T20" s="12"/>
      <c r="U20" s="10"/>
      <c r="V20" s="27"/>
      <c r="W20" s="12"/>
      <c r="X20" s="10">
        <v>46085.0</v>
      </c>
      <c r="Y20" s="11" t="s">
        <v>33</v>
      </c>
      <c r="Z20" s="18" t="s">
        <v>210</v>
      </c>
      <c r="AA20" s="12" t="s">
        <v>37</v>
      </c>
      <c r="AB20" s="10">
        <v>46086.0</v>
      </c>
      <c r="AC20" s="11" t="s">
        <v>33</v>
      </c>
    </row>
    <row r="21" ht="22.5" customHeight="1">
      <c r="A21" s="5">
        <v>3.0</v>
      </c>
      <c r="B21" s="25">
        <v>2.0</v>
      </c>
      <c r="C21" s="5" t="s">
        <v>211</v>
      </c>
      <c r="D21" s="22" t="s">
        <v>30</v>
      </c>
      <c r="E21" s="7" t="str">
        <f>IFERROR(__xludf.DUMMYFUNCTION("IF(AND(F21 &gt; 0.3, F21 &lt; 0.5), SPARKLINE(F21,{""charttype"",""bar"";""color1"",""Gold"";""max"",1}),
IF(F21 = 1, SPARKLINE(F21,{""charttype"",""bar"";""color1"",""Lime"";""max"",1}),
IF(F21 &gt;= 0.5, SPARKLINE(F21,{""charttype"",""bar"";""color1"",""GreenYel"&amp;"low"";""max"",1}),
SPARKLINE(F21,{""charttype"",""bar"";""color1"",""DarkOrange"";""max"",1}))))"),"")</f>
        <v/>
      </c>
      <c r="F21" s="8">
        <f t="shared" si="1"/>
        <v>1</v>
      </c>
      <c r="G21" s="18" t="s">
        <v>212</v>
      </c>
      <c r="H21" s="36" t="s">
        <v>156</v>
      </c>
      <c r="I21" s="10"/>
      <c r="J21" s="11" t="s">
        <v>33</v>
      </c>
      <c r="K21" s="12" t="s">
        <v>34</v>
      </c>
      <c r="L21" s="10"/>
      <c r="M21" s="11" t="s">
        <v>35</v>
      </c>
      <c r="N21" s="12"/>
      <c r="O21" s="10"/>
      <c r="P21" s="27"/>
      <c r="Q21" s="14"/>
      <c r="R21" s="10"/>
      <c r="S21" s="27"/>
      <c r="T21" s="12"/>
      <c r="U21" s="10"/>
      <c r="V21" s="27"/>
      <c r="W21" s="12"/>
      <c r="X21" s="10">
        <v>46085.0</v>
      </c>
      <c r="Y21" s="11" t="s">
        <v>33</v>
      </c>
      <c r="Z21" s="19" t="s">
        <v>213</v>
      </c>
      <c r="AA21" s="12" t="s">
        <v>37</v>
      </c>
      <c r="AB21" s="10">
        <v>46086.0</v>
      </c>
      <c r="AC21" s="11" t="s">
        <v>33</v>
      </c>
    </row>
    <row r="22" ht="22.5" customHeight="1">
      <c r="A22" s="16">
        <v>3.0</v>
      </c>
      <c r="B22" s="26">
        <v>2.0</v>
      </c>
      <c r="C22" s="16" t="s">
        <v>214</v>
      </c>
      <c r="D22" s="21" t="s">
        <v>30</v>
      </c>
      <c r="E22" s="7" t="str">
        <f>IFERROR(__xludf.DUMMYFUNCTION("IF(AND(F22 &gt; 0.3, F22 &lt; 0.5), SPARKLINE(F22,{""charttype"",""bar"";""color1"",""Gold"";""max"",1}),
IF(F22 = 1, SPARKLINE(F22,{""charttype"",""bar"";""color1"",""Lime"";""max"",1}),
IF(F22 &gt;= 0.5, SPARKLINE(F22,{""charttype"",""bar"";""color1"",""GreenYel"&amp;"low"";""max"",1}),
SPARKLINE(F22,{""charttype"",""bar"";""color1"",""DarkOrange"";""max"",1}))))"),"")</f>
        <v/>
      </c>
      <c r="F22" s="8">
        <f t="shared" si="1"/>
        <v>1</v>
      </c>
      <c r="G22" s="18" t="s">
        <v>215</v>
      </c>
      <c r="H22" s="36" t="s">
        <v>156</v>
      </c>
      <c r="I22" s="10"/>
      <c r="J22" s="11" t="s">
        <v>33</v>
      </c>
      <c r="K22" s="12" t="s">
        <v>34</v>
      </c>
      <c r="L22" s="10"/>
      <c r="M22" s="11" t="s">
        <v>35</v>
      </c>
      <c r="N22" s="12"/>
      <c r="O22" s="10"/>
      <c r="P22" s="27"/>
      <c r="Q22" s="14"/>
      <c r="R22" s="10"/>
      <c r="S22" s="27"/>
      <c r="T22" s="12"/>
      <c r="U22" s="10"/>
      <c r="V22" s="27"/>
      <c r="W22" s="12"/>
      <c r="X22" s="10">
        <v>46085.0</v>
      </c>
      <c r="Y22" s="11" t="s">
        <v>33</v>
      </c>
      <c r="Z22" s="15" t="s">
        <v>216</v>
      </c>
      <c r="AA22" s="12" t="s">
        <v>37</v>
      </c>
      <c r="AB22" s="10">
        <v>46086.0</v>
      </c>
      <c r="AC22" s="11" t="s">
        <v>33</v>
      </c>
    </row>
    <row r="23" ht="22.5" customHeight="1">
      <c r="A23" s="5">
        <v>3.0</v>
      </c>
      <c r="B23" s="25">
        <v>2.0</v>
      </c>
      <c r="C23" s="5" t="s">
        <v>217</v>
      </c>
      <c r="D23" s="22" t="s">
        <v>45</v>
      </c>
      <c r="E23" s="7" t="str">
        <f>IFERROR(__xludf.DUMMYFUNCTION("IF(AND(F23 &gt; 0.3, F23 &lt; 0.5), SPARKLINE(F23,{""charttype"",""bar"";""color1"",""Gold"";""max"",1}),
IF(F23 = 1, SPARKLINE(F23,{""charttype"",""bar"";""color1"",""Lime"";""max"",1}),
IF(F23 &gt;= 0.5, SPARKLINE(F23,{""charttype"",""bar"";""color1"",""GreenYel"&amp;"low"";""max"",1}),
SPARKLINE(F23,{""charttype"",""bar"";""color1"",""DarkOrange"";""max"",1}))))"),"")</f>
        <v/>
      </c>
      <c r="F23" s="8">
        <f t="shared" si="1"/>
        <v>1</v>
      </c>
      <c r="G23" s="18" t="s">
        <v>218</v>
      </c>
      <c r="H23" s="36" t="s">
        <v>156</v>
      </c>
      <c r="I23" s="10"/>
      <c r="J23" s="11" t="s">
        <v>33</v>
      </c>
      <c r="K23" s="12" t="s">
        <v>34</v>
      </c>
      <c r="L23" s="10"/>
      <c r="M23" s="11" t="s">
        <v>35</v>
      </c>
      <c r="N23" s="12"/>
      <c r="O23" s="10"/>
      <c r="P23" s="27"/>
      <c r="Q23" s="14"/>
      <c r="R23" s="10"/>
      <c r="S23" s="27"/>
      <c r="T23" s="12"/>
      <c r="U23" s="10"/>
      <c r="V23" s="27"/>
      <c r="W23" s="12" t="s">
        <v>47</v>
      </c>
      <c r="X23" s="10">
        <v>46079.0</v>
      </c>
      <c r="Y23" s="11" t="s">
        <v>33</v>
      </c>
      <c r="Z23" s="18" t="s">
        <v>219</v>
      </c>
      <c r="AA23" s="12" t="s">
        <v>37</v>
      </c>
      <c r="AB23" s="10">
        <v>46086.0</v>
      </c>
      <c r="AC23" s="11" t="s">
        <v>33</v>
      </c>
    </row>
    <row r="24" ht="22.5" customHeight="1">
      <c r="A24" s="16">
        <v>3.0</v>
      </c>
      <c r="B24" s="26">
        <v>2.0</v>
      </c>
      <c r="C24" s="16" t="s">
        <v>220</v>
      </c>
      <c r="D24" s="21" t="s">
        <v>45</v>
      </c>
      <c r="E24" s="7" t="str">
        <f>IFERROR(__xludf.DUMMYFUNCTION("IF(AND(F24 &gt; 0.3, F24 &lt; 0.5), SPARKLINE(F24,{""charttype"",""bar"";""color1"",""Gold"";""max"",1}),
IF(F24 = 1, SPARKLINE(F24,{""charttype"",""bar"";""color1"",""Lime"";""max"",1}),
IF(F24 &gt;= 0.5, SPARKLINE(F24,{""charttype"",""bar"";""color1"",""GreenYel"&amp;"low"";""max"",1}),
SPARKLINE(F24,{""charttype"",""bar"";""color1"",""DarkOrange"";""max"",1}))))"),"")</f>
        <v/>
      </c>
      <c r="F24" s="8">
        <f t="shared" si="1"/>
        <v>1</v>
      </c>
      <c r="G24" s="18" t="s">
        <v>221</v>
      </c>
      <c r="H24" s="36" t="s">
        <v>156</v>
      </c>
      <c r="I24" s="10"/>
      <c r="J24" s="11" t="s">
        <v>33</v>
      </c>
      <c r="K24" s="12" t="s">
        <v>34</v>
      </c>
      <c r="L24" s="10"/>
      <c r="M24" s="11" t="s">
        <v>35</v>
      </c>
      <c r="N24" s="12"/>
      <c r="O24" s="10"/>
      <c r="P24" s="27"/>
      <c r="Q24" s="14"/>
      <c r="R24" s="10"/>
      <c r="S24" s="27"/>
      <c r="T24" s="12"/>
      <c r="U24" s="10"/>
      <c r="V24" s="27"/>
      <c r="W24" s="12" t="s">
        <v>47</v>
      </c>
      <c r="X24" s="10">
        <v>46080.0</v>
      </c>
      <c r="Y24" s="11" t="s">
        <v>33</v>
      </c>
      <c r="Z24" s="18" t="s">
        <v>222</v>
      </c>
      <c r="AA24" s="12" t="s">
        <v>37</v>
      </c>
      <c r="AB24" s="10">
        <v>46086.0</v>
      </c>
      <c r="AC24" s="11" t="s">
        <v>33</v>
      </c>
    </row>
    <row r="25" ht="22.5" customHeight="1">
      <c r="A25" s="5">
        <v>3.0</v>
      </c>
      <c r="B25" s="25">
        <v>2.0</v>
      </c>
      <c r="C25" s="5" t="s">
        <v>223</v>
      </c>
      <c r="D25" s="22" t="s">
        <v>45</v>
      </c>
      <c r="E25" s="7" t="str">
        <f>IFERROR(__xludf.DUMMYFUNCTION("IF(AND(F25 &gt; 0.3, F25 &lt; 0.5), SPARKLINE(F25,{""charttype"",""bar"";""color1"",""Gold"";""max"",1}),
IF(F25 = 1, SPARKLINE(F25,{""charttype"",""bar"";""color1"",""Lime"";""max"",1}),
IF(F25 &gt;= 0.5, SPARKLINE(F25,{""charttype"",""bar"";""color1"",""GreenYel"&amp;"low"";""max"",1}),
SPARKLINE(F25,{""charttype"",""bar"";""color1"",""DarkOrange"";""max"",1}))))"),"")</f>
        <v/>
      </c>
      <c r="F25" s="8">
        <f t="shared" si="1"/>
        <v>1</v>
      </c>
      <c r="G25" s="18" t="s">
        <v>224</v>
      </c>
      <c r="H25" s="36" t="s">
        <v>156</v>
      </c>
      <c r="I25" s="10"/>
      <c r="J25" s="11" t="s">
        <v>33</v>
      </c>
      <c r="K25" s="12" t="s">
        <v>34</v>
      </c>
      <c r="L25" s="10"/>
      <c r="M25" s="11" t="s">
        <v>35</v>
      </c>
      <c r="N25" s="12"/>
      <c r="O25" s="10"/>
      <c r="P25" s="27"/>
      <c r="Q25" s="14"/>
      <c r="R25" s="10"/>
      <c r="S25" s="27"/>
      <c r="T25" s="12"/>
      <c r="U25" s="10"/>
      <c r="V25" s="27"/>
      <c r="W25" s="12" t="s">
        <v>47</v>
      </c>
      <c r="X25" s="10">
        <v>46080.0</v>
      </c>
      <c r="Y25" s="11" t="s">
        <v>33</v>
      </c>
      <c r="Z25" s="18" t="s">
        <v>225</v>
      </c>
      <c r="AA25" s="12" t="s">
        <v>37</v>
      </c>
      <c r="AB25" s="10">
        <v>46086.0</v>
      </c>
      <c r="AC25" s="11" t="s">
        <v>33</v>
      </c>
    </row>
    <row r="26" ht="22.5" customHeight="1">
      <c r="A26" s="16">
        <v>3.0</v>
      </c>
      <c r="B26" s="26">
        <v>2.0</v>
      </c>
      <c r="C26" s="16" t="s">
        <v>226</v>
      </c>
      <c r="D26" s="21" t="s">
        <v>45</v>
      </c>
      <c r="E26" s="7" t="str">
        <f>IFERROR(__xludf.DUMMYFUNCTION("IF(AND(F26 &gt; 0.3, F26 &lt; 0.5), SPARKLINE(F26,{""charttype"",""bar"";""color1"",""Gold"";""max"",1}),
IF(F26 = 1, SPARKLINE(F26,{""charttype"",""bar"";""color1"",""Lime"";""max"",1}),
IF(F26 &gt;= 0.5, SPARKLINE(F26,{""charttype"",""bar"";""color1"",""GreenYel"&amp;"low"";""max"",1}),
SPARKLINE(F26,{""charttype"",""bar"";""color1"",""DarkOrange"";""max"",1}))))"),"")</f>
        <v/>
      </c>
      <c r="F26" s="8">
        <f t="shared" si="1"/>
        <v>1</v>
      </c>
      <c r="G26" s="18" t="s">
        <v>227</v>
      </c>
      <c r="H26" s="36" t="s">
        <v>156</v>
      </c>
      <c r="I26" s="10"/>
      <c r="J26" s="11" t="s">
        <v>33</v>
      </c>
      <c r="K26" s="12" t="s">
        <v>34</v>
      </c>
      <c r="L26" s="10"/>
      <c r="M26" s="11" t="s">
        <v>35</v>
      </c>
      <c r="N26" s="12"/>
      <c r="O26" s="10"/>
      <c r="P26" s="27"/>
      <c r="Q26" s="14"/>
      <c r="R26" s="10"/>
      <c r="S26" s="27"/>
      <c r="T26" s="12"/>
      <c r="U26" s="10"/>
      <c r="V26" s="27"/>
      <c r="W26" s="12" t="s">
        <v>47</v>
      </c>
      <c r="X26" s="10">
        <v>46082.0</v>
      </c>
      <c r="Y26" s="11" t="s">
        <v>33</v>
      </c>
      <c r="Z26" s="18" t="s">
        <v>228</v>
      </c>
      <c r="AA26" s="12" t="s">
        <v>37</v>
      </c>
      <c r="AB26" s="10">
        <v>46086.0</v>
      </c>
      <c r="AC26" s="11" t="s">
        <v>33</v>
      </c>
    </row>
    <row r="27" ht="22.5" customHeight="1">
      <c r="A27" s="5">
        <v>3.0</v>
      </c>
      <c r="B27" s="25">
        <v>2.0</v>
      </c>
      <c r="C27" s="5" t="s">
        <v>229</v>
      </c>
      <c r="D27" s="22" t="s">
        <v>45</v>
      </c>
      <c r="E27" s="7" t="str">
        <f>IFERROR(__xludf.DUMMYFUNCTION("IF(AND(F27 &gt; 0.3, F27 &lt; 0.5), SPARKLINE(F27,{""charttype"",""bar"";""color1"",""Gold"";""max"",1}),
IF(F27 = 1, SPARKLINE(F27,{""charttype"",""bar"";""color1"",""Lime"";""max"",1}),
IF(F27 &gt;= 0.5, SPARKLINE(F27,{""charttype"",""bar"";""color1"",""GreenYel"&amp;"low"";""max"",1}),
SPARKLINE(F27,{""charttype"",""bar"";""color1"",""DarkOrange"";""max"",1}))))"),"")</f>
        <v/>
      </c>
      <c r="F27" s="8">
        <f t="shared" si="1"/>
        <v>1</v>
      </c>
      <c r="G27" s="18" t="s">
        <v>230</v>
      </c>
      <c r="H27" s="36" t="s">
        <v>156</v>
      </c>
      <c r="I27" s="10"/>
      <c r="J27" s="11" t="s">
        <v>33</v>
      </c>
      <c r="K27" s="12" t="s">
        <v>34</v>
      </c>
      <c r="L27" s="10"/>
      <c r="M27" s="11" t="s">
        <v>35</v>
      </c>
      <c r="N27" s="12"/>
      <c r="O27" s="10"/>
      <c r="P27" s="27"/>
      <c r="Q27" s="14"/>
      <c r="R27" s="10"/>
      <c r="S27" s="27"/>
      <c r="T27" s="12"/>
      <c r="U27" s="10"/>
      <c r="V27" s="27"/>
      <c r="W27" s="12" t="s">
        <v>47</v>
      </c>
      <c r="X27" s="10">
        <v>46083.0</v>
      </c>
      <c r="Y27" s="11" t="s">
        <v>33</v>
      </c>
      <c r="Z27" s="18" t="s">
        <v>231</v>
      </c>
      <c r="AA27" s="12" t="s">
        <v>37</v>
      </c>
      <c r="AB27" s="10">
        <v>46086.0</v>
      </c>
      <c r="AC27" s="11" t="s">
        <v>33</v>
      </c>
    </row>
    <row r="28" ht="22.5" customHeight="1">
      <c r="A28" s="16">
        <v>3.0</v>
      </c>
      <c r="B28" s="26">
        <v>2.0</v>
      </c>
      <c r="C28" s="16" t="s">
        <v>232</v>
      </c>
      <c r="D28" s="21" t="s">
        <v>56</v>
      </c>
      <c r="E28" s="7" t="str">
        <f>IFERROR(__xludf.DUMMYFUNCTION("IF(AND(F28 &gt; 0.3, F28 &lt; 0.5), SPARKLINE(F28,{""charttype"",""bar"";""color1"",""Gold"";""max"",1}),
IF(F28 = 1, SPARKLINE(F28,{""charttype"",""bar"";""color1"",""Lime"";""max"",1}),
IF(F28 &gt;= 0.5, SPARKLINE(F28,{""charttype"",""bar"";""color1"",""GreenYel"&amp;"low"";""max"",1}),
SPARKLINE(F28,{""charttype"",""bar"";""color1"",""DarkOrange"";""max"",1}))))"),"")</f>
        <v/>
      </c>
      <c r="F28" s="8">
        <f t="shared" si="1"/>
        <v>1</v>
      </c>
      <c r="G28" s="18" t="s">
        <v>233</v>
      </c>
      <c r="H28" s="36" t="s">
        <v>156</v>
      </c>
      <c r="I28" s="10"/>
      <c r="J28" s="11" t="s">
        <v>33</v>
      </c>
      <c r="K28" s="12" t="s">
        <v>34</v>
      </c>
      <c r="L28" s="10"/>
      <c r="M28" s="11" t="s">
        <v>35</v>
      </c>
      <c r="N28" s="12"/>
      <c r="O28" s="10"/>
      <c r="P28" s="27"/>
      <c r="Q28" s="14"/>
      <c r="R28" s="10"/>
      <c r="S28" s="27"/>
      <c r="T28" s="12"/>
      <c r="U28" s="10"/>
      <c r="V28" s="27"/>
      <c r="W28" s="12" t="s">
        <v>47</v>
      </c>
      <c r="X28" s="10">
        <v>46084.0</v>
      </c>
      <c r="Y28" s="11" t="s">
        <v>33</v>
      </c>
      <c r="Z28" s="18" t="s">
        <v>234</v>
      </c>
      <c r="AA28" s="12" t="s">
        <v>37</v>
      </c>
      <c r="AB28" s="10">
        <v>46086.0</v>
      </c>
      <c r="AC28" s="11" t="s">
        <v>33</v>
      </c>
    </row>
    <row r="29" ht="22.5" customHeight="1">
      <c r="A29" s="5">
        <v>3.0</v>
      </c>
      <c r="B29" s="25">
        <v>2.0</v>
      </c>
      <c r="C29" s="5" t="s">
        <v>235</v>
      </c>
      <c r="D29" s="22" t="s">
        <v>60</v>
      </c>
      <c r="E29" s="7" t="str">
        <f>IFERROR(__xludf.DUMMYFUNCTION("IF(AND(F29 &gt; 0.3, F29 &lt; 0.5), SPARKLINE(F29,{""charttype"",""bar"";""color1"",""Gold"";""max"",1}),
IF(F29 = 1, SPARKLINE(F29,{""charttype"",""bar"";""color1"",""Lime"";""max"",1}),
IF(F29 &gt;= 0.5, SPARKLINE(F29,{""charttype"",""bar"";""color1"",""GreenYel"&amp;"low"";""max"",1}),
SPARKLINE(F29,{""charttype"",""bar"";""color1"",""DarkOrange"";""max"",1}))))"),"")</f>
        <v/>
      </c>
      <c r="F29" s="8">
        <f t="shared" si="1"/>
        <v>1</v>
      </c>
      <c r="G29" s="18" t="s">
        <v>236</v>
      </c>
      <c r="H29" s="36" t="s">
        <v>156</v>
      </c>
      <c r="I29" s="10"/>
      <c r="J29" s="11" t="s">
        <v>33</v>
      </c>
      <c r="K29" s="12" t="s">
        <v>34</v>
      </c>
      <c r="L29" s="10"/>
      <c r="M29" s="11" t="s">
        <v>35</v>
      </c>
      <c r="N29" s="12"/>
      <c r="O29" s="10"/>
      <c r="P29" s="27"/>
      <c r="Q29" s="14"/>
      <c r="R29" s="10"/>
      <c r="S29" s="27"/>
      <c r="T29" s="12"/>
      <c r="U29" s="10"/>
      <c r="V29" s="27"/>
      <c r="W29" s="12" t="s">
        <v>47</v>
      </c>
      <c r="X29" s="10">
        <v>46085.0</v>
      </c>
      <c r="Y29" s="11" t="s">
        <v>33</v>
      </c>
      <c r="Z29" s="18" t="s">
        <v>237</v>
      </c>
      <c r="AA29" s="12" t="s">
        <v>37</v>
      </c>
      <c r="AB29" s="10">
        <v>46086.0</v>
      </c>
      <c r="AC29" s="11" t="s">
        <v>33</v>
      </c>
    </row>
    <row r="30" ht="22.5" customHeight="1">
      <c r="A30" s="16">
        <v>3.0</v>
      </c>
      <c r="B30" s="26">
        <v>2.0</v>
      </c>
      <c r="C30" s="16" t="s">
        <v>238</v>
      </c>
      <c r="D30" s="21" t="s">
        <v>149</v>
      </c>
      <c r="E30" s="7" t="str">
        <f>IFERROR(__xludf.DUMMYFUNCTION("IF(AND(F30 &gt; 0.3, F30 &lt; 0.5), SPARKLINE(F30,{""charttype"",""bar"";""color1"",""Gold"";""max"",1}),
IF(F30 = 1, SPARKLINE(F30,{""charttype"",""bar"";""color1"",""Lime"";""max"",1}),
IF(F30 &gt;= 0.5, SPARKLINE(F30,{""charttype"",""bar"";""color1"",""GreenYel"&amp;"low"";""max"",1}),
SPARKLINE(F30,{""charttype"",""bar"";""color1"",""DarkOrange"";""max"",1}))))"),"")</f>
        <v/>
      </c>
      <c r="F30" s="8">
        <f t="shared" si="1"/>
        <v>1</v>
      </c>
      <c r="H30" s="36" t="s">
        <v>156</v>
      </c>
      <c r="I30" s="10"/>
      <c r="J30" s="11" t="s">
        <v>33</v>
      </c>
      <c r="K30" s="12" t="s">
        <v>34</v>
      </c>
      <c r="L30" s="10"/>
      <c r="M30" s="11" t="s">
        <v>35</v>
      </c>
      <c r="N30" s="12"/>
      <c r="O30" s="10"/>
      <c r="P30" s="27"/>
      <c r="Q30" s="14"/>
      <c r="R30" s="10"/>
      <c r="S30" s="27"/>
      <c r="T30" s="12"/>
      <c r="U30" s="10"/>
      <c r="V30" s="27"/>
      <c r="W30" s="12"/>
      <c r="X30" s="10">
        <v>46085.0</v>
      </c>
      <c r="Y30" s="11" t="s">
        <v>33</v>
      </c>
      <c r="Z30" s="15" t="s">
        <v>239</v>
      </c>
      <c r="AA30" s="12" t="s">
        <v>37</v>
      </c>
      <c r="AB30" s="10">
        <v>46086.0</v>
      </c>
      <c r="AC30" s="11" t="s">
        <v>33</v>
      </c>
    </row>
    <row r="31" ht="22.5" customHeight="1">
      <c r="A31" s="16">
        <v>3.0</v>
      </c>
      <c r="B31" s="26">
        <v>2.0</v>
      </c>
      <c r="C31" s="16" t="s">
        <v>240</v>
      </c>
      <c r="D31" s="21" t="s">
        <v>64</v>
      </c>
      <c r="E31" s="7" t="str">
        <f>IFERROR(__xludf.DUMMYFUNCTION("IF(AND(F31 &gt; 0.3, F31 &lt; 0.5), SPARKLINE(F31,{""charttype"",""bar"";""color1"",""Gold"";""max"",1}),
IF(F31 = 1, SPARKLINE(F31,{""charttype"",""bar"";""color1"",""Lime"";""max"",1}),
IF(F31 &gt;= 0.5, SPARKLINE(F31,{""charttype"",""bar"";""color1"",""GreenYel"&amp;"low"";""max"",1}),
SPARKLINE(F31,{""charttype"",""bar"";""color1"",""DarkOrange"";""max"",1}))))"),"")</f>
        <v/>
      </c>
      <c r="F31" s="8">
        <f t="shared" si="1"/>
        <v>1</v>
      </c>
      <c r="G31" s="18" t="s">
        <v>241</v>
      </c>
      <c r="H31" s="36" t="s">
        <v>156</v>
      </c>
      <c r="I31" s="10"/>
      <c r="J31" s="11" t="s">
        <v>33</v>
      </c>
      <c r="K31" s="12" t="s">
        <v>34</v>
      </c>
      <c r="L31" s="10"/>
      <c r="M31" s="11" t="s">
        <v>35</v>
      </c>
      <c r="N31" s="12"/>
      <c r="O31" s="10"/>
      <c r="P31" s="27"/>
      <c r="Q31" s="14"/>
      <c r="R31" s="10"/>
      <c r="S31" s="27"/>
      <c r="T31" s="12"/>
      <c r="U31" s="10"/>
      <c r="V31" s="27"/>
      <c r="W31" s="12" t="s">
        <v>47</v>
      </c>
      <c r="X31" s="10">
        <v>46071.0</v>
      </c>
      <c r="Y31" s="11" t="s">
        <v>33</v>
      </c>
      <c r="Z31" s="18" t="s">
        <v>242</v>
      </c>
      <c r="AA31" s="12" t="s">
        <v>37</v>
      </c>
      <c r="AB31" s="10">
        <v>46086.0</v>
      </c>
      <c r="AC31" s="11" t="s">
        <v>33</v>
      </c>
    </row>
    <row r="32" ht="22.5" customHeight="1">
      <c r="A32" s="16">
        <v>3.0</v>
      </c>
      <c r="B32" s="26">
        <v>3.0</v>
      </c>
      <c r="C32" s="16" t="s">
        <v>243</v>
      </c>
      <c r="D32" s="21" t="s">
        <v>30</v>
      </c>
      <c r="E32" s="7" t="str">
        <f>IFERROR(__xludf.DUMMYFUNCTION("IF(AND(F32 &gt; 0.3, F32 &lt; 0.5), SPARKLINE(F32,{""charttype"",""bar"";""color1"",""Gold"";""max"",1}),
IF(F32 = 1, SPARKLINE(F32,{""charttype"",""bar"";""color1"",""Lime"";""max"",1}),
IF(F32 &gt;= 0.5, SPARKLINE(F32,{""charttype"",""bar"";""color1"",""GreenYel"&amp;"low"";""max"",1}),
SPARKLINE(F32,{""charttype"",""bar"";""color1"",""DarkOrange"";""max"",1}))))"),"")</f>
        <v/>
      </c>
      <c r="F32" s="8">
        <f t="shared" si="1"/>
        <v>1</v>
      </c>
      <c r="G32" s="18" t="s">
        <v>244</v>
      </c>
      <c r="H32" s="36" t="s">
        <v>156</v>
      </c>
      <c r="I32" s="10"/>
      <c r="J32" s="11" t="s">
        <v>33</v>
      </c>
      <c r="K32" s="12" t="s">
        <v>34</v>
      </c>
      <c r="L32" s="10"/>
      <c r="M32" s="11" t="s">
        <v>35</v>
      </c>
      <c r="N32" s="12"/>
      <c r="O32" s="10"/>
      <c r="P32" s="27"/>
      <c r="Q32" s="14"/>
      <c r="R32" s="10"/>
      <c r="S32" s="27"/>
      <c r="T32" s="12"/>
      <c r="U32" s="10"/>
      <c r="V32" s="27"/>
      <c r="W32" s="12"/>
      <c r="X32" s="10">
        <v>46085.0</v>
      </c>
      <c r="Y32" s="11" t="s">
        <v>33</v>
      </c>
      <c r="Z32" s="15" t="s">
        <v>245</v>
      </c>
      <c r="AA32" s="12" t="s">
        <v>37</v>
      </c>
      <c r="AB32" s="10">
        <v>46086.0</v>
      </c>
      <c r="AC32" s="11" t="s">
        <v>33</v>
      </c>
    </row>
    <row r="33" ht="22.5" customHeight="1">
      <c r="A33" s="16">
        <v>3.0</v>
      </c>
      <c r="B33" s="26">
        <v>3.0</v>
      </c>
      <c r="C33" s="16" t="s">
        <v>246</v>
      </c>
      <c r="D33" s="21" t="s">
        <v>30</v>
      </c>
      <c r="E33" s="7" t="str">
        <f>IFERROR(__xludf.DUMMYFUNCTION("IF(AND(F33 &gt; 0.3, F33 &lt; 0.5), SPARKLINE(F33,{""charttype"",""bar"";""color1"",""Gold"";""max"",1}),
IF(F33 = 1, SPARKLINE(F33,{""charttype"",""bar"";""color1"",""Lime"";""max"",1}),
IF(F33 &gt;= 0.5, SPARKLINE(F33,{""charttype"",""bar"";""color1"",""GreenYel"&amp;"low"";""max"",1}),
SPARKLINE(F33,{""charttype"",""bar"";""color1"",""DarkOrange"";""max"",1}))))"),"")</f>
        <v/>
      </c>
      <c r="F33" s="8">
        <f t="shared" si="1"/>
        <v>1</v>
      </c>
      <c r="G33" s="18" t="s">
        <v>247</v>
      </c>
      <c r="H33" s="36" t="s">
        <v>156</v>
      </c>
      <c r="I33" s="10"/>
      <c r="J33" s="11" t="s">
        <v>33</v>
      </c>
      <c r="K33" s="12" t="s">
        <v>34</v>
      </c>
      <c r="L33" s="10"/>
      <c r="M33" s="11" t="s">
        <v>35</v>
      </c>
      <c r="N33" s="12"/>
      <c r="O33" s="10"/>
      <c r="P33" s="27"/>
      <c r="Q33" s="14"/>
      <c r="R33" s="10"/>
      <c r="S33" s="27"/>
      <c r="T33" s="12"/>
      <c r="U33" s="10"/>
      <c r="V33" s="27"/>
      <c r="W33" s="12"/>
      <c r="X33" s="10">
        <v>46085.0</v>
      </c>
      <c r="Y33" s="11" t="s">
        <v>33</v>
      </c>
      <c r="Z33" s="18" t="s">
        <v>248</v>
      </c>
      <c r="AA33" s="12" t="s">
        <v>37</v>
      </c>
      <c r="AB33" s="10">
        <v>46086.0</v>
      </c>
      <c r="AC33" s="11" t="s">
        <v>33</v>
      </c>
    </row>
    <row r="34" ht="22.5" customHeight="1">
      <c r="A34" s="16">
        <v>3.0</v>
      </c>
      <c r="B34" s="26">
        <v>3.0</v>
      </c>
      <c r="C34" s="16" t="s">
        <v>249</v>
      </c>
      <c r="D34" s="21" t="s">
        <v>30</v>
      </c>
      <c r="E34" s="7" t="str">
        <f>IFERROR(__xludf.DUMMYFUNCTION("IF(AND(F34 &gt; 0.3, F34 &lt; 0.5), SPARKLINE(F34,{""charttype"",""bar"";""color1"",""Gold"";""max"",1}),
IF(F34 = 1, SPARKLINE(F34,{""charttype"",""bar"";""color1"",""Lime"";""max"",1}),
IF(F34 &gt;= 0.5, SPARKLINE(F34,{""charttype"",""bar"";""color1"",""GreenYel"&amp;"low"";""max"",1}),
SPARKLINE(F34,{""charttype"",""bar"";""color1"",""DarkOrange"";""max"",1}))))"),"")</f>
        <v/>
      </c>
      <c r="F34" s="8">
        <f t="shared" si="1"/>
        <v>1</v>
      </c>
      <c r="G34" s="18" t="s">
        <v>250</v>
      </c>
      <c r="H34" s="36" t="s">
        <v>156</v>
      </c>
      <c r="I34" s="10"/>
      <c r="J34" s="11" t="s">
        <v>33</v>
      </c>
      <c r="K34" s="12" t="s">
        <v>34</v>
      </c>
      <c r="L34" s="10"/>
      <c r="M34" s="11" t="s">
        <v>35</v>
      </c>
      <c r="N34" s="12"/>
      <c r="O34" s="10"/>
      <c r="P34" s="27"/>
      <c r="Q34" s="14"/>
      <c r="R34" s="10"/>
      <c r="S34" s="27"/>
      <c r="T34" s="12"/>
      <c r="U34" s="10"/>
      <c r="V34" s="27"/>
      <c r="W34" s="12"/>
      <c r="X34" s="10">
        <v>46085.0</v>
      </c>
      <c r="Y34" s="11" t="s">
        <v>33</v>
      </c>
      <c r="Z34" s="18" t="s">
        <v>251</v>
      </c>
      <c r="AA34" s="12" t="s">
        <v>37</v>
      </c>
      <c r="AB34" s="10">
        <v>46086.0</v>
      </c>
      <c r="AC34" s="11" t="s">
        <v>33</v>
      </c>
    </row>
    <row r="35" ht="22.5" customHeight="1">
      <c r="A35" s="16">
        <v>3.0</v>
      </c>
      <c r="B35" s="26">
        <v>3.0</v>
      </c>
      <c r="C35" s="16" t="s">
        <v>252</v>
      </c>
      <c r="D35" s="21" t="s">
        <v>45</v>
      </c>
      <c r="E35" s="7" t="str">
        <f>IFERROR(__xludf.DUMMYFUNCTION("IF(AND(F35 &gt; 0.3, F35 &lt; 0.5), SPARKLINE(F35,{""charttype"",""bar"";""color1"",""Gold"";""max"",1}),
IF(F35 = 1, SPARKLINE(F35,{""charttype"",""bar"";""color1"",""Lime"";""max"",1}),
IF(F35 &gt;= 0.5, SPARKLINE(F35,{""charttype"",""bar"";""color1"",""GreenYel"&amp;"low"";""max"",1}),
SPARKLINE(F35,{""charttype"",""bar"";""color1"",""DarkOrange"";""max"",1}))))"),"")</f>
        <v/>
      </c>
      <c r="F35" s="8">
        <f t="shared" si="1"/>
        <v>1</v>
      </c>
      <c r="G35" s="18" t="s">
        <v>253</v>
      </c>
      <c r="H35" s="36" t="s">
        <v>156</v>
      </c>
      <c r="I35" s="10"/>
      <c r="J35" s="11" t="s">
        <v>33</v>
      </c>
      <c r="K35" s="12" t="s">
        <v>34</v>
      </c>
      <c r="L35" s="10"/>
      <c r="M35" s="11" t="s">
        <v>35</v>
      </c>
      <c r="N35" s="12"/>
      <c r="O35" s="10"/>
      <c r="P35" s="27"/>
      <c r="Q35" s="14"/>
      <c r="R35" s="10"/>
      <c r="S35" s="27"/>
      <c r="T35" s="12"/>
      <c r="U35" s="10"/>
      <c r="V35" s="27"/>
      <c r="W35" s="12" t="s">
        <v>47</v>
      </c>
      <c r="X35" s="10">
        <v>46072.0</v>
      </c>
      <c r="Y35" s="11" t="s">
        <v>33</v>
      </c>
      <c r="Z35" s="18" t="s">
        <v>254</v>
      </c>
      <c r="AA35" s="12" t="s">
        <v>37</v>
      </c>
      <c r="AB35" s="10">
        <v>46086.0</v>
      </c>
      <c r="AC35" s="11" t="s">
        <v>33</v>
      </c>
    </row>
    <row r="36" ht="22.5" customHeight="1">
      <c r="A36" s="16">
        <v>3.0</v>
      </c>
      <c r="B36" s="26">
        <v>3.0</v>
      </c>
      <c r="C36" s="16" t="s">
        <v>255</v>
      </c>
      <c r="D36" s="21" t="s">
        <v>45</v>
      </c>
      <c r="E36" s="7" t="str">
        <f>IFERROR(__xludf.DUMMYFUNCTION("IF(AND(F36 &gt; 0.3, F36 &lt; 0.5), SPARKLINE(F36,{""charttype"",""bar"";""color1"",""Gold"";""max"",1}),
IF(F36 = 1, SPARKLINE(F36,{""charttype"",""bar"";""color1"",""Lime"";""max"",1}),
IF(F36 &gt;= 0.5, SPARKLINE(F36,{""charttype"",""bar"";""color1"",""GreenYel"&amp;"low"";""max"",1}),
SPARKLINE(F36,{""charttype"",""bar"";""color1"",""DarkOrange"";""max"",1}))))"),"")</f>
        <v/>
      </c>
      <c r="F36" s="8">
        <f t="shared" si="1"/>
        <v>1</v>
      </c>
      <c r="G36" s="18" t="s">
        <v>256</v>
      </c>
      <c r="H36" s="36" t="s">
        <v>156</v>
      </c>
      <c r="I36" s="10"/>
      <c r="J36" s="11" t="s">
        <v>33</v>
      </c>
      <c r="K36" s="12" t="s">
        <v>34</v>
      </c>
      <c r="L36" s="10"/>
      <c r="M36" s="11" t="s">
        <v>35</v>
      </c>
      <c r="N36" s="12"/>
      <c r="O36" s="10"/>
      <c r="P36" s="27"/>
      <c r="Q36" s="14"/>
      <c r="R36" s="10"/>
      <c r="S36" s="27"/>
      <c r="T36" s="12"/>
      <c r="U36" s="10"/>
      <c r="V36" s="27"/>
      <c r="W36" s="12" t="s">
        <v>47</v>
      </c>
      <c r="X36" s="10">
        <v>46073.0</v>
      </c>
      <c r="Y36" s="11" t="s">
        <v>33</v>
      </c>
      <c r="Z36" s="18" t="s">
        <v>257</v>
      </c>
      <c r="AA36" s="12" t="s">
        <v>37</v>
      </c>
      <c r="AB36" s="10">
        <v>46086.0</v>
      </c>
      <c r="AC36" s="11" t="s">
        <v>33</v>
      </c>
    </row>
    <row r="37" ht="22.5" customHeight="1">
      <c r="A37" s="16">
        <v>3.0</v>
      </c>
      <c r="B37" s="26">
        <v>3.0</v>
      </c>
      <c r="C37" s="16" t="s">
        <v>258</v>
      </c>
      <c r="D37" s="21" t="s">
        <v>45</v>
      </c>
      <c r="E37" s="7" t="str">
        <f>IFERROR(__xludf.DUMMYFUNCTION("IF(AND(F37 &gt; 0.3, F37 &lt; 0.5), SPARKLINE(F37,{""charttype"",""bar"";""color1"",""Gold"";""max"",1}),
IF(F37 = 1, SPARKLINE(F37,{""charttype"",""bar"";""color1"",""Lime"";""max"",1}),
IF(F37 &gt;= 0.5, SPARKLINE(F37,{""charttype"",""bar"";""color1"",""GreenYel"&amp;"low"";""max"",1}),
SPARKLINE(F37,{""charttype"",""bar"";""color1"",""DarkOrange"";""max"",1}))))"),"")</f>
        <v/>
      </c>
      <c r="F37" s="8">
        <f t="shared" si="1"/>
        <v>1</v>
      </c>
      <c r="G37" s="18" t="s">
        <v>259</v>
      </c>
      <c r="H37" s="36" t="s">
        <v>156</v>
      </c>
      <c r="I37" s="10"/>
      <c r="J37" s="11" t="s">
        <v>33</v>
      </c>
      <c r="K37" s="12" t="s">
        <v>34</v>
      </c>
      <c r="L37" s="10"/>
      <c r="M37" s="11" t="s">
        <v>35</v>
      </c>
      <c r="N37" s="12"/>
      <c r="O37" s="10"/>
      <c r="P37" s="27"/>
      <c r="Q37" s="14"/>
      <c r="R37" s="10"/>
      <c r="S37" s="27"/>
      <c r="T37" s="12"/>
      <c r="U37" s="10"/>
      <c r="V37" s="27"/>
      <c r="W37" s="12" t="s">
        <v>47</v>
      </c>
      <c r="X37" s="10">
        <v>46074.0</v>
      </c>
      <c r="Y37" s="11" t="s">
        <v>33</v>
      </c>
      <c r="Z37" s="18" t="s">
        <v>260</v>
      </c>
      <c r="AA37" s="12" t="s">
        <v>37</v>
      </c>
      <c r="AB37" s="10">
        <v>46086.0</v>
      </c>
      <c r="AC37" s="11" t="s">
        <v>33</v>
      </c>
    </row>
    <row r="38" ht="22.5" customHeight="1">
      <c r="A38" s="16">
        <v>3.0</v>
      </c>
      <c r="B38" s="26">
        <v>3.0</v>
      </c>
      <c r="C38" s="16" t="s">
        <v>261</v>
      </c>
      <c r="D38" s="21" t="s">
        <v>56</v>
      </c>
      <c r="E38" s="7" t="str">
        <f>IFERROR(__xludf.DUMMYFUNCTION("IF(AND(F38 &gt; 0.3, F38 &lt; 0.5), SPARKLINE(F38,{""charttype"",""bar"";""color1"",""Gold"";""max"",1}),
IF(F38 = 1, SPARKLINE(F38,{""charttype"",""bar"";""color1"",""Lime"";""max"",1}),
IF(F38 &gt;= 0.5, SPARKLINE(F38,{""charttype"",""bar"";""color1"",""GreenYel"&amp;"low"";""max"",1}),
SPARKLINE(F38,{""charttype"",""bar"";""color1"",""DarkOrange"";""max"",1}))))"),"")</f>
        <v/>
      </c>
      <c r="F38" s="8">
        <f t="shared" si="1"/>
        <v>1</v>
      </c>
      <c r="G38" s="18" t="s">
        <v>262</v>
      </c>
      <c r="H38" s="36" t="s">
        <v>156</v>
      </c>
      <c r="I38" s="10"/>
      <c r="J38" s="11" t="s">
        <v>33</v>
      </c>
      <c r="K38" s="12" t="s">
        <v>34</v>
      </c>
      <c r="L38" s="10"/>
      <c r="M38" s="11" t="s">
        <v>35</v>
      </c>
      <c r="N38" s="12"/>
      <c r="O38" s="10"/>
      <c r="P38" s="27"/>
      <c r="Q38" s="14"/>
      <c r="R38" s="10"/>
      <c r="S38" s="27"/>
      <c r="T38" s="12"/>
      <c r="U38" s="10"/>
      <c r="V38" s="27"/>
      <c r="W38" s="12" t="s">
        <v>47</v>
      </c>
      <c r="X38" s="10">
        <v>46075.0</v>
      </c>
      <c r="Y38" s="11" t="s">
        <v>33</v>
      </c>
      <c r="Z38" s="18" t="s">
        <v>263</v>
      </c>
      <c r="AA38" s="12" t="s">
        <v>37</v>
      </c>
      <c r="AB38" s="10">
        <v>46086.0</v>
      </c>
      <c r="AC38" s="11" t="s">
        <v>33</v>
      </c>
    </row>
    <row r="39" ht="22.5" customHeight="1">
      <c r="A39" s="16">
        <v>3.0</v>
      </c>
      <c r="B39" s="26">
        <v>3.0</v>
      </c>
      <c r="C39" s="16" t="s">
        <v>264</v>
      </c>
      <c r="D39" s="21" t="s">
        <v>60</v>
      </c>
      <c r="E39" s="7" t="str">
        <f>IFERROR(__xludf.DUMMYFUNCTION("IF(AND(F39 &gt; 0.3, F39 &lt; 0.5), SPARKLINE(F39,{""charttype"",""bar"";""color1"",""Gold"";""max"",1}),
IF(F39 = 1, SPARKLINE(F39,{""charttype"",""bar"";""color1"",""Lime"";""max"",1}),
IF(F39 &gt;= 0.5, SPARKLINE(F39,{""charttype"",""bar"";""color1"",""GreenYel"&amp;"low"";""max"",1}),
SPARKLINE(F39,{""charttype"",""bar"";""color1"",""DarkOrange"";""max"",1}))))"),"")</f>
        <v/>
      </c>
      <c r="F39" s="8">
        <f t="shared" si="1"/>
        <v>1</v>
      </c>
      <c r="G39" s="18" t="s">
        <v>265</v>
      </c>
      <c r="H39" s="36" t="s">
        <v>156</v>
      </c>
      <c r="I39" s="10"/>
      <c r="J39" s="11" t="s">
        <v>33</v>
      </c>
      <c r="K39" s="12" t="s">
        <v>34</v>
      </c>
      <c r="L39" s="10"/>
      <c r="M39" s="11" t="s">
        <v>35</v>
      </c>
      <c r="N39" s="12"/>
      <c r="O39" s="10"/>
      <c r="P39" s="27"/>
      <c r="Q39" s="14"/>
      <c r="R39" s="10"/>
      <c r="S39" s="27"/>
      <c r="T39" s="12"/>
      <c r="U39" s="10"/>
      <c r="V39" s="27"/>
      <c r="W39" s="12" t="s">
        <v>47</v>
      </c>
      <c r="X39" s="10">
        <v>46076.0</v>
      </c>
      <c r="Y39" s="11" t="s">
        <v>33</v>
      </c>
      <c r="Z39" s="18" t="s">
        <v>266</v>
      </c>
      <c r="AA39" s="12" t="s">
        <v>37</v>
      </c>
      <c r="AB39" s="10">
        <v>46086.0</v>
      </c>
      <c r="AC39" s="11" t="s">
        <v>33</v>
      </c>
    </row>
    <row r="40" ht="22.5" customHeight="1">
      <c r="A40" s="16">
        <v>3.0</v>
      </c>
      <c r="B40" s="26">
        <v>3.0</v>
      </c>
      <c r="C40" s="16" t="s">
        <v>267</v>
      </c>
      <c r="D40" s="21" t="s">
        <v>149</v>
      </c>
      <c r="E40" s="7" t="str">
        <f>IFERROR(__xludf.DUMMYFUNCTION("IF(AND(F40 &gt; 0.3, F40 &lt; 0.5), SPARKLINE(F40,{""charttype"",""bar"";""color1"",""Gold"";""max"",1}),
IF(F40 = 1, SPARKLINE(F40,{""charttype"",""bar"";""color1"",""Lime"";""max"",1}),
IF(F40 &gt;= 0.5, SPARKLINE(F40,{""charttype"",""bar"";""color1"",""GreenYel"&amp;"low"";""max"",1}),
SPARKLINE(F40,{""charttype"",""bar"";""color1"",""DarkOrange"";""max"",1}))))"),"")</f>
        <v/>
      </c>
      <c r="F40" s="8">
        <f t="shared" si="1"/>
        <v>1</v>
      </c>
      <c r="H40" s="36" t="s">
        <v>156</v>
      </c>
      <c r="I40" s="10"/>
      <c r="J40" s="11" t="s">
        <v>33</v>
      </c>
      <c r="K40" s="12" t="s">
        <v>34</v>
      </c>
      <c r="L40" s="10"/>
      <c r="M40" s="11" t="s">
        <v>35</v>
      </c>
      <c r="N40" s="12"/>
      <c r="O40" s="10"/>
      <c r="P40" s="27"/>
      <c r="Q40" s="14"/>
      <c r="R40" s="10"/>
      <c r="S40" s="27"/>
      <c r="T40" s="12"/>
      <c r="U40" s="10"/>
      <c r="V40" s="27"/>
      <c r="W40" s="12"/>
      <c r="X40" s="10">
        <v>46085.0</v>
      </c>
      <c r="Y40" s="11" t="s">
        <v>33</v>
      </c>
      <c r="Z40" s="15" t="s">
        <v>268</v>
      </c>
      <c r="AA40" s="12" t="s">
        <v>37</v>
      </c>
      <c r="AB40" s="10">
        <v>46086.0</v>
      </c>
      <c r="AC40" s="11" t="s">
        <v>33</v>
      </c>
    </row>
    <row r="41" ht="22.5" customHeight="1">
      <c r="A41" s="16">
        <v>3.0</v>
      </c>
      <c r="B41" s="26">
        <v>3.0</v>
      </c>
      <c r="C41" s="16" t="s">
        <v>269</v>
      </c>
      <c r="D41" s="21" t="s">
        <v>95</v>
      </c>
      <c r="E41" s="7" t="str">
        <f>IFERROR(__xludf.DUMMYFUNCTION("IF(AND(F41 &gt; 0.3, F41 &lt; 0.5), SPARKLINE(F41,{""charttype"",""bar"";""color1"",""Gold"";""max"",1}),
IF(F41 = 1, SPARKLINE(F41,{""charttype"",""bar"";""color1"",""Lime"";""max"",1}),
IF(F41 &gt;= 0.5, SPARKLINE(F41,{""charttype"",""bar"";""color1"",""GreenYel"&amp;"low"";""max"",1}),
SPARKLINE(F41,{""charttype"",""bar"";""color1"",""DarkOrange"";""max"",1}))))"),"")</f>
        <v/>
      </c>
      <c r="F41" s="8">
        <f t="shared" si="1"/>
        <v>0.6666666667</v>
      </c>
      <c r="G41" s="18" t="s">
        <v>270</v>
      </c>
      <c r="H41" s="36" t="s">
        <v>156</v>
      </c>
      <c r="I41" s="10"/>
      <c r="J41" s="11" t="s">
        <v>271</v>
      </c>
      <c r="K41" s="12" t="s">
        <v>34</v>
      </c>
      <c r="L41" s="10"/>
      <c r="M41" s="11"/>
      <c r="N41" s="12"/>
      <c r="O41" s="10"/>
      <c r="P41" s="27"/>
      <c r="Q41" s="14"/>
      <c r="R41" s="10"/>
      <c r="S41" s="27"/>
      <c r="T41" s="12"/>
      <c r="U41" s="10"/>
      <c r="V41" s="27"/>
      <c r="W41" s="12" t="s">
        <v>47</v>
      </c>
      <c r="X41" s="10">
        <v>46077.0</v>
      </c>
      <c r="Y41" s="11" t="s">
        <v>33</v>
      </c>
      <c r="Z41" s="18" t="s">
        <v>272</v>
      </c>
      <c r="AA41" s="12" t="s">
        <v>37</v>
      </c>
      <c r="AB41" s="10">
        <v>46086.0</v>
      </c>
      <c r="AC41" s="11" t="s">
        <v>33</v>
      </c>
    </row>
    <row r="42" ht="22.5" customHeight="1">
      <c r="A42" s="16">
        <v>3.0</v>
      </c>
      <c r="B42" s="26">
        <v>3.0</v>
      </c>
      <c r="C42" s="16" t="s">
        <v>273</v>
      </c>
      <c r="D42" s="21" t="s">
        <v>64</v>
      </c>
      <c r="E42" s="7" t="str">
        <f>IFERROR(__xludf.DUMMYFUNCTION("IF(AND(F42 &gt; 0.3, F42 &lt; 0.5), SPARKLINE(F42,{""charttype"",""bar"";""color1"",""Gold"";""max"",1}),
IF(F42 = 1, SPARKLINE(F42,{""charttype"",""bar"";""color1"",""Lime"";""max"",1}),
IF(F42 &gt;= 0.5, SPARKLINE(F42,{""charttype"",""bar"";""color1"",""GreenYel"&amp;"low"";""max"",1}),
SPARKLINE(F42,{""charttype"",""bar"";""color1"",""DarkOrange"";""max"",1}))))"),"")</f>
        <v/>
      </c>
      <c r="F42" s="8">
        <f t="shared" si="1"/>
        <v>1</v>
      </c>
      <c r="G42" s="18" t="s">
        <v>274</v>
      </c>
      <c r="H42" s="36" t="s">
        <v>156</v>
      </c>
      <c r="I42" s="10"/>
      <c r="J42" s="11" t="s">
        <v>33</v>
      </c>
      <c r="K42" s="12" t="s">
        <v>34</v>
      </c>
      <c r="L42" s="10"/>
      <c r="M42" s="11" t="s">
        <v>35</v>
      </c>
      <c r="N42" s="12"/>
      <c r="O42" s="10"/>
      <c r="P42" s="27"/>
      <c r="Q42" s="14"/>
      <c r="R42" s="10"/>
      <c r="S42" s="27"/>
      <c r="T42" s="12"/>
      <c r="U42" s="10"/>
      <c r="V42" s="27"/>
      <c r="W42" s="12" t="s">
        <v>47</v>
      </c>
      <c r="X42" s="10">
        <v>46073.0</v>
      </c>
      <c r="Y42" s="11" t="s">
        <v>33</v>
      </c>
      <c r="Z42" s="18" t="s">
        <v>275</v>
      </c>
      <c r="AA42" s="12" t="s">
        <v>37</v>
      </c>
      <c r="AB42" s="10">
        <v>46086.0</v>
      </c>
      <c r="AC42" s="11" t="s">
        <v>33</v>
      </c>
    </row>
  </sheetData>
  <dataValidations>
    <dataValidation type="list" allowBlank="1" sqref="P2:P42 S2:S42 Y2:Y42">
      <formula1>"Concluído,Em Andamento,Pendente,Precisa de Alteração"</formula1>
    </dataValidation>
    <dataValidation type="list" allowBlank="1" sqref="J2:J42">
      <formula1>"Concluído,Em Andamento,Pendente,Precisa de Alteração,Não há"</formula1>
    </dataValidation>
    <dataValidation type="custom" allowBlank="1" showDropDown="1" sqref="I2:I42 L2:L42 O2:O42 R2:R42 U2:U42 X2:X42 AB2:AB42">
      <formula1>OR(NOT(ISERROR(DATEVALUE(I2))), AND(ISNUMBER(I2), LEFT(CELL("format", I2))="D"))</formula1>
    </dataValidation>
    <dataValidation type="list" allowBlank="1" sqref="V2:V42">
      <formula1>"Concluído,Em Andamento,Pendente,Precisa de Alteração,Não Há"</formula1>
    </dataValidation>
    <dataValidation type="list" allowBlank="1" sqref="AC2:AC42">
      <formula1>"Concluído,Em Andamento,Pendente,Aguardando Correção"</formula1>
    </dataValidation>
    <dataValidation type="custom" allowBlank="1" showDropDown="1" sqref="F2:F42">
      <formula1>AND(ISNUMBER(F2),(NOT(OR(NOT(ISERROR(DATEVALUE(F2))), AND(ISNUMBER(F2), LEFT(CELL("format", F2))="D")))))</formula1>
    </dataValidation>
    <dataValidation type="list" allowBlank="1" sqref="M2:M42">
      <formula1>"Concluído,Em Andamento,Pendente,Aguardando Correção,Não há"</formula1>
    </dataValidation>
  </dataValidations>
  <hyperlinks>
    <hyperlink r:id="rId4" ref="G2"/>
    <hyperlink r:id="rId5" ref="H2"/>
    <hyperlink r:id="rId6" ref="Z2"/>
    <hyperlink r:id="rId7" ref="G3"/>
    <hyperlink r:id="rId8" ref="H3"/>
    <hyperlink r:id="rId9" ref="Z3"/>
    <hyperlink r:id="rId10" ref="G4"/>
    <hyperlink r:id="rId11" ref="H4"/>
    <hyperlink r:id="rId12" ref="Z4"/>
    <hyperlink r:id="rId13" ref="G5"/>
    <hyperlink r:id="rId14" ref="H5"/>
    <hyperlink r:id="rId15" ref="Z5"/>
    <hyperlink r:id="rId16" ref="G6"/>
    <hyperlink r:id="rId17" ref="H6"/>
    <hyperlink r:id="rId18" ref="Z6"/>
    <hyperlink r:id="rId19" ref="G7"/>
    <hyperlink r:id="rId20" ref="H7"/>
    <hyperlink r:id="rId21" ref="Z7"/>
    <hyperlink r:id="rId22" ref="G8"/>
    <hyperlink r:id="rId23" ref="H8"/>
    <hyperlink r:id="rId24" ref="Z8"/>
    <hyperlink r:id="rId25" ref="G9"/>
    <hyperlink r:id="rId26" ref="H9"/>
    <hyperlink r:id="rId27" ref="Z9"/>
    <hyperlink r:id="rId28" ref="G10"/>
    <hyperlink r:id="rId29" ref="H10"/>
    <hyperlink r:id="rId30" ref="Z10"/>
    <hyperlink r:id="rId31" ref="G11"/>
    <hyperlink r:id="rId32" ref="H11"/>
    <hyperlink r:id="rId33" ref="Z11"/>
    <hyperlink r:id="rId34" ref="G12"/>
    <hyperlink r:id="rId35" ref="H12"/>
    <hyperlink r:id="rId36" ref="Z12"/>
    <hyperlink r:id="rId37" ref="G13"/>
    <hyperlink r:id="rId38" ref="H13"/>
    <hyperlink r:id="rId39" ref="Z13"/>
    <hyperlink r:id="rId40" ref="G14"/>
    <hyperlink r:id="rId41" ref="H14"/>
    <hyperlink r:id="rId42" ref="Z14"/>
    <hyperlink r:id="rId43" ref="G15"/>
    <hyperlink r:id="rId44" ref="H15"/>
    <hyperlink r:id="rId45" ref="Z15"/>
    <hyperlink r:id="rId46" ref="H16"/>
    <hyperlink r:id="rId47" ref="Z16"/>
    <hyperlink r:id="rId48" ref="G17"/>
    <hyperlink r:id="rId49" ref="H17"/>
    <hyperlink r:id="rId50" ref="Z17"/>
    <hyperlink r:id="rId51" ref="G18"/>
    <hyperlink r:id="rId52" ref="H18"/>
    <hyperlink r:id="rId53" ref="Z18"/>
    <hyperlink r:id="rId54" ref="G19"/>
    <hyperlink r:id="rId55" ref="H19"/>
    <hyperlink r:id="rId56" ref="Z19"/>
    <hyperlink r:id="rId57" ref="G20"/>
    <hyperlink r:id="rId58" ref="H20"/>
    <hyperlink r:id="rId59" ref="Z20"/>
    <hyperlink r:id="rId60" ref="G21"/>
    <hyperlink r:id="rId61" ref="H21"/>
    <hyperlink r:id="rId62" ref="Z21"/>
    <hyperlink r:id="rId63" ref="G22"/>
    <hyperlink r:id="rId64" ref="H22"/>
    <hyperlink r:id="rId65" ref="Z22"/>
    <hyperlink r:id="rId66" ref="G23"/>
    <hyperlink r:id="rId67" ref="H23"/>
    <hyperlink r:id="rId68" ref="Z23"/>
    <hyperlink r:id="rId69" ref="G24"/>
    <hyperlink r:id="rId70" ref="H24"/>
    <hyperlink r:id="rId71" ref="Z24"/>
    <hyperlink r:id="rId72" ref="G25"/>
    <hyperlink r:id="rId73" ref="H25"/>
    <hyperlink r:id="rId74" ref="Z25"/>
    <hyperlink r:id="rId75" ref="G26"/>
    <hyperlink r:id="rId76" ref="H26"/>
    <hyperlink r:id="rId77" ref="Z26"/>
    <hyperlink r:id="rId78" ref="G27"/>
    <hyperlink r:id="rId79" ref="H27"/>
    <hyperlink r:id="rId80" ref="Z27"/>
    <hyperlink r:id="rId81" ref="G28"/>
    <hyperlink r:id="rId82" ref="H28"/>
    <hyperlink r:id="rId83" ref="Z28"/>
    <hyperlink r:id="rId84" ref="G29"/>
    <hyperlink r:id="rId85" ref="H29"/>
    <hyperlink r:id="rId86" ref="Z29"/>
    <hyperlink r:id="rId87" ref="H30"/>
    <hyperlink r:id="rId88" ref="Z30"/>
    <hyperlink r:id="rId89" ref="G31"/>
    <hyperlink r:id="rId90" ref="H31"/>
    <hyperlink r:id="rId91" ref="Z31"/>
    <hyperlink r:id="rId92" ref="G32"/>
    <hyperlink r:id="rId93" ref="H32"/>
    <hyperlink r:id="rId94" ref="Z32"/>
    <hyperlink r:id="rId95" ref="G33"/>
    <hyperlink r:id="rId96" ref="H33"/>
    <hyperlink r:id="rId97" ref="Z33"/>
    <hyperlink r:id="rId98" ref="G34"/>
    <hyperlink r:id="rId99" ref="H34"/>
    <hyperlink r:id="rId100" ref="Z34"/>
    <hyperlink r:id="rId101" ref="G35"/>
    <hyperlink r:id="rId102" ref="H35"/>
    <hyperlink r:id="rId103" ref="Z35"/>
    <hyperlink r:id="rId104" ref="G36"/>
    <hyperlink r:id="rId105" ref="H36"/>
    <hyperlink r:id="rId106" ref="Z36"/>
    <hyperlink r:id="rId107" ref="G37"/>
    <hyperlink r:id="rId108" ref="H37"/>
    <hyperlink r:id="rId109" ref="Z37"/>
    <hyperlink r:id="rId110" ref="G38"/>
    <hyperlink r:id="rId111" ref="H38"/>
    <hyperlink r:id="rId112" ref="Z38"/>
    <hyperlink r:id="rId113" ref="G39"/>
    <hyperlink r:id="rId114" ref="H39"/>
    <hyperlink r:id="rId115" ref="Z39"/>
    <hyperlink r:id="rId116" ref="H40"/>
    <hyperlink r:id="rId117" ref="Z40"/>
    <hyperlink r:id="rId118" ref="G41"/>
    <hyperlink r:id="rId119" ref="H41"/>
    <hyperlink r:id="rId120" ref="Z41"/>
    <hyperlink r:id="rId121" ref="G42"/>
    <hyperlink r:id="rId122" ref="H42"/>
    <hyperlink r:id="rId123" ref="Z42"/>
  </hyperlinks>
  <drawing r:id="rId124"/>
  <legacyDrawing r:id="rId125"/>
  <tableParts count="1">
    <tablePart r:id="rId1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1.5"/>
    <col customWidth="1" min="2" max="2" width="6.63"/>
    <col customWidth="1" min="3" max="3" width="12.75"/>
    <col customWidth="1" min="4" max="4" width="14.5"/>
    <col customWidth="1" min="5" max="5" width="23.25"/>
    <col customWidth="1" min="6" max="6" width="6.75"/>
    <col customWidth="1" min="7" max="7" width="19.5"/>
    <col customWidth="1" min="8" max="8" width="17.75"/>
    <col customWidth="1" min="9" max="9" width="20.13"/>
    <col customWidth="1" min="10" max="10" width="21.75"/>
    <col customWidth="1" min="11" max="11" width="16.25"/>
    <col customWidth="1" min="12" max="12" width="20.13"/>
    <col customWidth="1" min="13" max="13" width="21.75"/>
    <col customWidth="1" min="14" max="14" width="16.63"/>
    <col customWidth="1" min="15" max="15" width="20.13"/>
    <col customWidth="1" min="16" max="17" width="21.75"/>
    <col customWidth="1" min="18" max="18" width="20.13"/>
    <col customWidth="1" min="19" max="19" width="21.75"/>
    <col customWidth="1" min="20" max="20" width="16.25"/>
    <col customWidth="1" min="21" max="21" width="20.13"/>
    <col customWidth="1" min="22" max="22" width="21.75"/>
    <col customWidth="1" min="23" max="23" width="16.25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5">
        <v>4.0</v>
      </c>
      <c r="B2" s="53">
        <v>1.0</v>
      </c>
      <c r="C2" s="5" t="s">
        <v>276</v>
      </c>
      <c r="D2" s="22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39" si="1">IF(OR(D2="ROTEIRO DE VÍDEO", D2="VÍDEO"), (IF(J2="Concluído", 1, 0) + IF(Y2="Concluído", 1, 0) + IF(AC2="Concluído", 1, 0)) / 3,
IF(OR(D2="SLIDE", D2="FÓRUM", D2="PLANO DE AULA", D2="QUIZ", D2="TAREFA", D2="EBOOK", D2="PDF(AVULSO)"), (IF(J2="Concluído", 1, 0) + IF(Y2="Concluído", 1, 0) + IF(AC2="Concluído", 1, 0)) / 3))</f>
        <v>1</v>
      </c>
      <c r="G2" s="9" t="s">
        <v>277</v>
      </c>
      <c r="H2" s="36" t="s">
        <v>156</v>
      </c>
      <c r="I2" s="10"/>
      <c r="J2" s="11" t="s">
        <v>33</v>
      </c>
      <c r="K2" s="12" t="s">
        <v>34</v>
      </c>
      <c r="L2" s="10"/>
      <c r="M2" s="11" t="s">
        <v>35</v>
      </c>
      <c r="N2" s="12"/>
      <c r="O2" s="10"/>
      <c r="P2" s="13" t="s">
        <v>33</v>
      </c>
      <c r="Q2" s="14"/>
      <c r="R2" s="10"/>
      <c r="S2" s="13" t="s">
        <v>35</v>
      </c>
      <c r="T2" s="12"/>
      <c r="U2" s="10"/>
      <c r="V2" s="31"/>
      <c r="W2" s="12"/>
      <c r="X2" s="10">
        <v>46085.0</v>
      </c>
      <c r="Y2" s="13" t="s">
        <v>33</v>
      </c>
      <c r="Z2" s="18" t="s">
        <v>278</v>
      </c>
      <c r="AA2" s="12" t="s">
        <v>37</v>
      </c>
      <c r="AB2" s="10">
        <v>46086.0</v>
      </c>
      <c r="AC2" s="11" t="s">
        <v>33</v>
      </c>
    </row>
    <row r="3" ht="22.5" customHeight="1">
      <c r="A3" s="16">
        <v>4.0</v>
      </c>
      <c r="B3" s="54">
        <v>1.0</v>
      </c>
      <c r="C3" s="16" t="s">
        <v>279</v>
      </c>
      <c r="D3" s="21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1</v>
      </c>
      <c r="G3" s="18" t="s">
        <v>280</v>
      </c>
      <c r="H3" s="36" t="s">
        <v>156</v>
      </c>
      <c r="I3" s="10"/>
      <c r="J3" s="11" t="s">
        <v>33</v>
      </c>
      <c r="K3" s="12" t="s">
        <v>34</v>
      </c>
      <c r="L3" s="10"/>
      <c r="M3" s="11" t="s">
        <v>35</v>
      </c>
      <c r="N3" s="12"/>
      <c r="O3" s="10"/>
      <c r="P3" s="11" t="s">
        <v>33</v>
      </c>
      <c r="Q3" s="14"/>
      <c r="R3" s="10"/>
      <c r="S3" s="11" t="s">
        <v>35</v>
      </c>
      <c r="T3" s="12"/>
      <c r="U3" s="10"/>
      <c r="V3" s="27"/>
      <c r="W3" s="12"/>
      <c r="X3" s="10">
        <v>46085.0</v>
      </c>
      <c r="Y3" s="11" t="s">
        <v>33</v>
      </c>
      <c r="Z3" s="18" t="s">
        <v>281</v>
      </c>
      <c r="AA3" s="12" t="s">
        <v>37</v>
      </c>
      <c r="AB3" s="10">
        <v>46086.0</v>
      </c>
      <c r="AC3" s="11" t="s">
        <v>33</v>
      </c>
    </row>
    <row r="4" ht="22.5" customHeight="1">
      <c r="A4" s="5">
        <v>4.0</v>
      </c>
      <c r="B4" s="53">
        <v>1.0</v>
      </c>
      <c r="C4" s="5" t="s">
        <v>282</v>
      </c>
      <c r="D4" s="22" t="s">
        <v>30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1</v>
      </c>
      <c r="G4" s="20" t="s">
        <v>283</v>
      </c>
      <c r="H4" s="36" t="s">
        <v>156</v>
      </c>
      <c r="I4" s="10"/>
      <c r="J4" s="11" t="s">
        <v>33</v>
      </c>
      <c r="K4" s="12" t="s">
        <v>34</v>
      </c>
      <c r="L4" s="10"/>
      <c r="M4" s="11" t="s">
        <v>35</v>
      </c>
      <c r="N4" s="12"/>
      <c r="O4" s="10"/>
      <c r="P4" s="11" t="s">
        <v>33</v>
      </c>
      <c r="Q4" s="14"/>
      <c r="R4" s="10"/>
      <c r="S4" s="11" t="s">
        <v>35</v>
      </c>
      <c r="T4" s="12"/>
      <c r="U4" s="10"/>
      <c r="V4" s="27"/>
      <c r="W4" s="12"/>
      <c r="X4" s="10">
        <v>46085.0</v>
      </c>
      <c r="Y4" s="11" t="s">
        <v>33</v>
      </c>
      <c r="Z4" s="18" t="s">
        <v>284</v>
      </c>
      <c r="AA4" s="12" t="s">
        <v>37</v>
      </c>
      <c r="AB4" s="10">
        <v>46086.0</v>
      </c>
      <c r="AC4" s="11" t="s">
        <v>33</v>
      </c>
    </row>
    <row r="5" ht="22.5" customHeight="1">
      <c r="A5" s="16">
        <v>4.0</v>
      </c>
      <c r="B5" s="54">
        <v>1.0</v>
      </c>
      <c r="C5" s="16" t="s">
        <v>285</v>
      </c>
      <c r="D5" s="21" t="s">
        <v>45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1</v>
      </c>
      <c r="G5" s="18" t="s">
        <v>286</v>
      </c>
      <c r="H5" s="36" t="s">
        <v>156</v>
      </c>
      <c r="I5" s="10"/>
      <c r="J5" s="11" t="s">
        <v>33</v>
      </c>
      <c r="K5" s="12" t="s">
        <v>34</v>
      </c>
      <c r="L5" s="10"/>
      <c r="M5" s="11" t="s">
        <v>35</v>
      </c>
      <c r="N5" s="12"/>
      <c r="O5" s="10"/>
      <c r="P5" s="27"/>
      <c r="Q5" s="14"/>
      <c r="R5" s="10"/>
      <c r="S5" s="27"/>
      <c r="T5" s="12"/>
      <c r="U5" s="10"/>
      <c r="V5" s="27"/>
      <c r="W5" s="12" t="s">
        <v>47</v>
      </c>
      <c r="X5" s="10">
        <v>46071.0</v>
      </c>
      <c r="Y5" s="11" t="s">
        <v>33</v>
      </c>
      <c r="Z5" s="18" t="s">
        <v>287</v>
      </c>
      <c r="AA5" s="12" t="s">
        <v>37</v>
      </c>
      <c r="AB5" s="10">
        <v>46086.0</v>
      </c>
      <c r="AC5" s="11" t="s">
        <v>33</v>
      </c>
    </row>
    <row r="6" ht="22.5" customHeight="1">
      <c r="A6" s="5">
        <v>4.0</v>
      </c>
      <c r="B6" s="53">
        <v>1.0</v>
      </c>
      <c r="C6" s="5" t="s">
        <v>288</v>
      </c>
      <c r="D6" s="22" t="s">
        <v>45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1</v>
      </c>
      <c r="G6" s="18" t="s">
        <v>289</v>
      </c>
      <c r="H6" s="36" t="s">
        <v>156</v>
      </c>
      <c r="I6" s="10"/>
      <c r="J6" s="11" t="s">
        <v>33</v>
      </c>
      <c r="K6" s="12" t="s">
        <v>34</v>
      </c>
      <c r="L6" s="10"/>
      <c r="M6" s="11" t="s">
        <v>35</v>
      </c>
      <c r="N6" s="12"/>
      <c r="O6" s="10"/>
      <c r="P6" s="27"/>
      <c r="Q6" s="14"/>
      <c r="R6" s="10"/>
      <c r="S6" s="27"/>
      <c r="T6" s="12"/>
      <c r="U6" s="10"/>
      <c r="V6" s="27"/>
      <c r="W6" s="12" t="s">
        <v>47</v>
      </c>
      <c r="X6" s="10">
        <v>46072.0</v>
      </c>
      <c r="Y6" s="11" t="s">
        <v>33</v>
      </c>
      <c r="Z6" s="18" t="s">
        <v>290</v>
      </c>
      <c r="AA6" s="12" t="s">
        <v>37</v>
      </c>
      <c r="AB6" s="10">
        <v>46086.0</v>
      </c>
      <c r="AC6" s="11" t="s">
        <v>33</v>
      </c>
    </row>
    <row r="7" ht="22.5" customHeight="1">
      <c r="A7" s="16">
        <v>4.0</v>
      </c>
      <c r="B7" s="54">
        <v>1.0</v>
      </c>
      <c r="C7" s="16" t="s">
        <v>291</v>
      </c>
      <c r="D7" s="21" t="s">
        <v>56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1</v>
      </c>
      <c r="G7" s="18" t="s">
        <v>292</v>
      </c>
      <c r="H7" s="36" t="s">
        <v>156</v>
      </c>
      <c r="I7" s="10"/>
      <c r="J7" s="11" t="s">
        <v>33</v>
      </c>
      <c r="K7" s="12" t="s">
        <v>34</v>
      </c>
      <c r="L7" s="10"/>
      <c r="M7" s="11" t="s">
        <v>35</v>
      </c>
      <c r="N7" s="12"/>
      <c r="O7" s="10"/>
      <c r="P7" s="27"/>
      <c r="Q7" s="14"/>
      <c r="R7" s="10"/>
      <c r="S7" s="27"/>
      <c r="T7" s="12"/>
      <c r="U7" s="10"/>
      <c r="V7" s="27"/>
      <c r="W7" s="12" t="s">
        <v>47</v>
      </c>
      <c r="X7" s="10">
        <v>46072.0</v>
      </c>
      <c r="Y7" s="11" t="s">
        <v>33</v>
      </c>
      <c r="Z7" s="18" t="s">
        <v>293</v>
      </c>
      <c r="AA7" s="12" t="s">
        <v>37</v>
      </c>
      <c r="AB7" s="10">
        <v>46086.0</v>
      </c>
      <c r="AC7" s="11" t="s">
        <v>33</v>
      </c>
    </row>
    <row r="8" ht="22.5" customHeight="1">
      <c r="A8" s="5">
        <v>4.0</v>
      </c>
      <c r="B8" s="53">
        <v>1.0</v>
      </c>
      <c r="C8" s="5" t="s">
        <v>294</v>
      </c>
      <c r="D8" s="22" t="s">
        <v>60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1</v>
      </c>
      <c r="G8" s="18" t="s">
        <v>295</v>
      </c>
      <c r="H8" s="36" t="s">
        <v>156</v>
      </c>
      <c r="I8" s="10"/>
      <c r="J8" s="11" t="s">
        <v>33</v>
      </c>
      <c r="K8" s="12" t="s">
        <v>34</v>
      </c>
      <c r="L8" s="10"/>
      <c r="M8" s="11" t="s">
        <v>35</v>
      </c>
      <c r="N8" s="12"/>
      <c r="O8" s="10"/>
      <c r="P8" s="27"/>
      <c r="Q8" s="14"/>
      <c r="R8" s="10"/>
      <c r="S8" s="27"/>
      <c r="T8" s="12"/>
      <c r="U8" s="10"/>
      <c r="V8" s="27"/>
      <c r="W8" s="12" t="s">
        <v>47</v>
      </c>
      <c r="X8" s="10">
        <v>46074.0</v>
      </c>
      <c r="Y8" s="11" t="s">
        <v>33</v>
      </c>
      <c r="Z8" s="18" t="s">
        <v>296</v>
      </c>
      <c r="AA8" s="12" t="s">
        <v>37</v>
      </c>
      <c r="AB8" s="10">
        <v>46086.0</v>
      </c>
      <c r="AC8" s="11" t="s">
        <v>33</v>
      </c>
    </row>
    <row r="9" ht="22.5" customHeight="1">
      <c r="A9" s="16">
        <v>4.0</v>
      </c>
      <c r="B9" s="54">
        <v>1.0</v>
      </c>
      <c r="C9" s="16" t="s">
        <v>297</v>
      </c>
      <c r="D9" s="21" t="s">
        <v>149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1</v>
      </c>
      <c r="G9" s="55"/>
      <c r="H9" s="36" t="s">
        <v>156</v>
      </c>
      <c r="I9" s="10"/>
      <c r="J9" s="11" t="s">
        <v>33</v>
      </c>
      <c r="K9" s="12" t="s">
        <v>34</v>
      </c>
      <c r="L9" s="10"/>
      <c r="M9" s="11" t="s">
        <v>35</v>
      </c>
      <c r="N9" s="12"/>
      <c r="O9" s="10"/>
      <c r="P9" s="11" t="s">
        <v>33</v>
      </c>
      <c r="Q9" s="14"/>
      <c r="R9" s="10"/>
      <c r="S9" s="11" t="s">
        <v>35</v>
      </c>
      <c r="T9" s="12"/>
      <c r="U9" s="10"/>
      <c r="V9" s="27"/>
      <c r="W9" s="12"/>
      <c r="X9" s="10">
        <v>46085.0</v>
      </c>
      <c r="Y9" s="11" t="s">
        <v>33</v>
      </c>
      <c r="Z9" s="15" t="s">
        <v>298</v>
      </c>
      <c r="AA9" s="12" t="s">
        <v>37</v>
      </c>
      <c r="AB9" s="10">
        <v>46086.0</v>
      </c>
      <c r="AC9" s="11" t="s">
        <v>33</v>
      </c>
    </row>
    <row r="10" ht="22.5" customHeight="1">
      <c r="A10" s="16">
        <v>4.0</v>
      </c>
      <c r="B10" s="54">
        <v>1.0</v>
      </c>
      <c r="C10" s="16" t="s">
        <v>299</v>
      </c>
      <c r="D10" s="21" t="s">
        <v>64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1</v>
      </c>
      <c r="G10" s="20" t="s">
        <v>300</v>
      </c>
      <c r="H10" s="36" t="s">
        <v>156</v>
      </c>
      <c r="I10" s="10"/>
      <c r="J10" s="11" t="s">
        <v>33</v>
      </c>
      <c r="K10" s="12" t="s">
        <v>34</v>
      </c>
      <c r="L10" s="10"/>
      <c r="M10" s="11" t="s">
        <v>35</v>
      </c>
      <c r="N10" s="12"/>
      <c r="O10" s="10"/>
      <c r="P10" s="27"/>
      <c r="Q10" s="14"/>
      <c r="R10" s="10"/>
      <c r="S10" s="27"/>
      <c r="T10" s="12"/>
      <c r="U10" s="10"/>
      <c r="V10" s="27"/>
      <c r="W10" s="12" t="s">
        <v>47</v>
      </c>
      <c r="X10" s="10">
        <v>46076.0</v>
      </c>
      <c r="Y10" s="11" t="s">
        <v>33</v>
      </c>
      <c r="Z10" s="18" t="s">
        <v>301</v>
      </c>
      <c r="AA10" s="12" t="s">
        <v>37</v>
      </c>
      <c r="AB10" s="10">
        <v>46086.0</v>
      </c>
      <c r="AC10" s="11" t="s">
        <v>33</v>
      </c>
    </row>
    <row r="11" ht="22.5" customHeight="1">
      <c r="A11" s="5">
        <v>4.0</v>
      </c>
      <c r="B11" s="53">
        <v>2.0</v>
      </c>
      <c r="C11" s="5" t="s">
        <v>302</v>
      </c>
      <c r="D11" s="22" t="s">
        <v>30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1</v>
      </c>
      <c r="G11" s="23" t="s">
        <v>303</v>
      </c>
      <c r="H11" s="36" t="s">
        <v>156</v>
      </c>
      <c r="I11" s="10"/>
      <c r="J11" s="11" t="s">
        <v>33</v>
      </c>
      <c r="K11" s="12" t="s">
        <v>34</v>
      </c>
      <c r="L11" s="10"/>
      <c r="M11" s="11" t="s">
        <v>35</v>
      </c>
      <c r="N11" s="12"/>
      <c r="O11" s="10"/>
      <c r="P11" s="11" t="s">
        <v>33</v>
      </c>
      <c r="Q11" s="14"/>
      <c r="R11" s="10"/>
      <c r="S11" s="11" t="s">
        <v>35</v>
      </c>
      <c r="T11" s="12"/>
      <c r="U11" s="10"/>
      <c r="V11" s="27"/>
      <c r="W11" s="12"/>
      <c r="X11" s="10">
        <v>46085.0</v>
      </c>
      <c r="Y11" s="11" t="s">
        <v>33</v>
      </c>
      <c r="Z11" s="15" t="s">
        <v>304</v>
      </c>
      <c r="AA11" s="12" t="s">
        <v>37</v>
      </c>
      <c r="AB11" s="10">
        <v>46086.0</v>
      </c>
      <c r="AC11" s="11" t="s">
        <v>33</v>
      </c>
    </row>
    <row r="12" ht="22.5" customHeight="1">
      <c r="A12" s="16">
        <v>4.0</v>
      </c>
      <c r="B12" s="54">
        <v>2.0</v>
      </c>
      <c r="C12" s="16" t="s">
        <v>305</v>
      </c>
      <c r="D12" s="21" t="s">
        <v>30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1</v>
      </c>
      <c r="G12" s="18" t="s">
        <v>306</v>
      </c>
      <c r="H12" s="36" t="s">
        <v>156</v>
      </c>
      <c r="I12" s="10"/>
      <c r="J12" s="11" t="s">
        <v>33</v>
      </c>
      <c r="K12" s="12" t="s">
        <v>34</v>
      </c>
      <c r="L12" s="10"/>
      <c r="M12" s="11" t="s">
        <v>35</v>
      </c>
      <c r="N12" s="12"/>
      <c r="O12" s="10"/>
      <c r="P12" s="11" t="s">
        <v>33</v>
      </c>
      <c r="Q12" s="14"/>
      <c r="R12" s="10"/>
      <c r="S12" s="11" t="s">
        <v>35</v>
      </c>
      <c r="T12" s="12"/>
      <c r="U12" s="10"/>
      <c r="V12" s="27"/>
      <c r="W12" s="12"/>
      <c r="X12" s="10">
        <v>46085.0</v>
      </c>
      <c r="Y12" s="11" t="s">
        <v>33</v>
      </c>
      <c r="Z12" s="18" t="s">
        <v>307</v>
      </c>
      <c r="AA12" s="12" t="s">
        <v>37</v>
      </c>
      <c r="AB12" s="10">
        <v>46086.0</v>
      </c>
      <c r="AC12" s="11" t="s">
        <v>33</v>
      </c>
    </row>
    <row r="13" ht="22.5" customHeight="1">
      <c r="A13" s="5">
        <v>4.0</v>
      </c>
      <c r="B13" s="53">
        <v>2.0</v>
      </c>
      <c r="C13" s="5" t="s">
        <v>308</v>
      </c>
      <c r="D13" s="22" t="s">
        <v>30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1</v>
      </c>
      <c r="G13" s="18" t="s">
        <v>309</v>
      </c>
      <c r="H13" s="36" t="s">
        <v>156</v>
      </c>
      <c r="I13" s="10"/>
      <c r="J13" s="11" t="s">
        <v>33</v>
      </c>
      <c r="K13" s="12" t="s">
        <v>34</v>
      </c>
      <c r="L13" s="10"/>
      <c r="M13" s="11" t="s">
        <v>35</v>
      </c>
      <c r="N13" s="12"/>
      <c r="O13" s="10"/>
      <c r="P13" s="11" t="s">
        <v>33</v>
      </c>
      <c r="Q13" s="14"/>
      <c r="R13" s="10"/>
      <c r="S13" s="11" t="s">
        <v>35</v>
      </c>
      <c r="T13" s="12"/>
      <c r="U13" s="10"/>
      <c r="V13" s="27"/>
      <c r="W13" s="12"/>
      <c r="X13" s="10">
        <v>46085.0</v>
      </c>
      <c r="Y13" s="11" t="s">
        <v>33</v>
      </c>
      <c r="Z13" s="15" t="s">
        <v>310</v>
      </c>
      <c r="AA13" s="12" t="s">
        <v>37</v>
      </c>
      <c r="AB13" s="10">
        <v>46086.0</v>
      </c>
      <c r="AC13" s="11" t="s">
        <v>33</v>
      </c>
    </row>
    <row r="14" ht="22.5" customHeight="1">
      <c r="A14" s="16">
        <v>4.0</v>
      </c>
      <c r="B14" s="54">
        <v>2.0</v>
      </c>
      <c r="C14" s="16" t="s">
        <v>311</v>
      </c>
      <c r="D14" s="21" t="s">
        <v>45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1</v>
      </c>
      <c r="G14" s="18" t="s">
        <v>312</v>
      </c>
      <c r="H14" s="36" t="s">
        <v>156</v>
      </c>
      <c r="I14" s="10"/>
      <c r="J14" s="11" t="s">
        <v>33</v>
      </c>
      <c r="K14" s="12" t="s">
        <v>34</v>
      </c>
      <c r="L14" s="10"/>
      <c r="M14" s="11" t="s">
        <v>35</v>
      </c>
      <c r="N14" s="12"/>
      <c r="O14" s="10"/>
      <c r="P14" s="27"/>
      <c r="Q14" s="14"/>
      <c r="R14" s="10"/>
      <c r="S14" s="27"/>
      <c r="T14" s="12"/>
      <c r="U14" s="10"/>
      <c r="V14" s="27"/>
      <c r="W14" s="12" t="s">
        <v>47</v>
      </c>
      <c r="X14" s="10">
        <v>46073.0</v>
      </c>
      <c r="Y14" s="11" t="s">
        <v>33</v>
      </c>
      <c r="Z14" s="18" t="s">
        <v>313</v>
      </c>
      <c r="AA14" s="12" t="s">
        <v>37</v>
      </c>
      <c r="AB14" s="10">
        <v>46086.0</v>
      </c>
      <c r="AC14" s="11" t="s">
        <v>33</v>
      </c>
    </row>
    <row r="15" ht="22.5" customHeight="1">
      <c r="A15" s="5">
        <v>4.0</v>
      </c>
      <c r="B15" s="53">
        <v>2.0</v>
      </c>
      <c r="C15" s="5" t="s">
        <v>314</v>
      </c>
      <c r="D15" s="22" t="s">
        <v>45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1</v>
      </c>
      <c r="G15" s="18" t="s">
        <v>315</v>
      </c>
      <c r="H15" s="36" t="s">
        <v>156</v>
      </c>
      <c r="I15" s="10"/>
      <c r="J15" s="11" t="s">
        <v>33</v>
      </c>
      <c r="K15" s="12" t="s">
        <v>34</v>
      </c>
      <c r="L15" s="10"/>
      <c r="M15" s="11" t="s">
        <v>35</v>
      </c>
      <c r="N15" s="12"/>
      <c r="O15" s="10"/>
      <c r="P15" s="27"/>
      <c r="Q15" s="14"/>
      <c r="R15" s="10"/>
      <c r="S15" s="27"/>
      <c r="T15" s="12"/>
      <c r="U15" s="10"/>
      <c r="V15" s="27"/>
      <c r="W15" s="12" t="s">
        <v>47</v>
      </c>
      <c r="X15" s="10">
        <v>46074.0</v>
      </c>
      <c r="Y15" s="11" t="s">
        <v>33</v>
      </c>
      <c r="Z15" s="18" t="s">
        <v>316</v>
      </c>
      <c r="AA15" s="12" t="s">
        <v>37</v>
      </c>
      <c r="AB15" s="10">
        <v>46086.0</v>
      </c>
      <c r="AC15" s="11" t="s">
        <v>33</v>
      </c>
    </row>
    <row r="16" ht="22.5" customHeight="1">
      <c r="A16" s="16">
        <v>4.0</v>
      </c>
      <c r="B16" s="54">
        <v>2.0</v>
      </c>
      <c r="C16" s="16" t="s">
        <v>317</v>
      </c>
      <c r="D16" s="21" t="s">
        <v>45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1</v>
      </c>
      <c r="G16" s="18" t="s">
        <v>318</v>
      </c>
      <c r="H16" s="36" t="s">
        <v>156</v>
      </c>
      <c r="I16" s="10"/>
      <c r="J16" s="11" t="s">
        <v>33</v>
      </c>
      <c r="K16" s="12" t="s">
        <v>34</v>
      </c>
      <c r="L16" s="10"/>
      <c r="M16" s="11" t="s">
        <v>35</v>
      </c>
      <c r="N16" s="12"/>
      <c r="O16" s="10"/>
      <c r="P16" s="27"/>
      <c r="Q16" s="14"/>
      <c r="R16" s="10"/>
      <c r="S16" s="27"/>
      <c r="T16" s="12"/>
      <c r="U16" s="10"/>
      <c r="V16" s="27"/>
      <c r="W16" s="12" t="s">
        <v>47</v>
      </c>
      <c r="X16" s="10">
        <v>46075.0</v>
      </c>
      <c r="Y16" s="11" t="s">
        <v>33</v>
      </c>
      <c r="Z16" s="18" t="s">
        <v>319</v>
      </c>
      <c r="AA16" s="12" t="s">
        <v>37</v>
      </c>
      <c r="AB16" s="10">
        <v>46086.0</v>
      </c>
      <c r="AC16" s="11" t="s">
        <v>33</v>
      </c>
    </row>
    <row r="17" ht="22.5" customHeight="1">
      <c r="A17" s="5">
        <v>4.0</v>
      </c>
      <c r="B17" s="53">
        <v>2.0</v>
      </c>
      <c r="C17" s="5" t="s">
        <v>320</v>
      </c>
      <c r="D17" s="22" t="s">
        <v>56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1</v>
      </c>
      <c r="G17" s="18" t="s">
        <v>321</v>
      </c>
      <c r="H17" s="36" t="s">
        <v>156</v>
      </c>
      <c r="I17" s="10"/>
      <c r="J17" s="11" t="s">
        <v>33</v>
      </c>
      <c r="K17" s="12" t="s">
        <v>34</v>
      </c>
      <c r="L17" s="10"/>
      <c r="M17" s="11" t="s">
        <v>35</v>
      </c>
      <c r="N17" s="12"/>
      <c r="O17" s="10"/>
      <c r="P17" s="27"/>
      <c r="Q17" s="14"/>
      <c r="R17" s="10"/>
      <c r="S17" s="27"/>
      <c r="T17" s="12"/>
      <c r="U17" s="10"/>
      <c r="V17" s="27"/>
      <c r="W17" s="12" t="s">
        <v>47</v>
      </c>
      <c r="X17" s="10">
        <v>46073.0</v>
      </c>
      <c r="Y17" s="11" t="s">
        <v>33</v>
      </c>
      <c r="Z17" s="18" t="s">
        <v>322</v>
      </c>
      <c r="AA17" s="12" t="s">
        <v>37</v>
      </c>
      <c r="AB17" s="10">
        <v>46086.0</v>
      </c>
      <c r="AC17" s="11" t="s">
        <v>33</v>
      </c>
    </row>
    <row r="18" ht="22.5" customHeight="1">
      <c r="A18" s="16">
        <v>4.0</v>
      </c>
      <c r="B18" s="54">
        <v>2.0</v>
      </c>
      <c r="C18" s="16" t="s">
        <v>323</v>
      </c>
      <c r="D18" s="21" t="s">
        <v>60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1</v>
      </c>
      <c r="G18" s="18" t="s">
        <v>324</v>
      </c>
      <c r="H18" s="36" t="s">
        <v>156</v>
      </c>
      <c r="I18" s="10"/>
      <c r="J18" s="11" t="s">
        <v>33</v>
      </c>
      <c r="K18" s="12" t="s">
        <v>34</v>
      </c>
      <c r="L18" s="10"/>
      <c r="M18" s="11" t="s">
        <v>35</v>
      </c>
      <c r="N18" s="12"/>
      <c r="O18" s="10"/>
      <c r="P18" s="27"/>
      <c r="Q18" s="14"/>
      <c r="R18" s="10"/>
      <c r="S18" s="27"/>
      <c r="T18" s="12"/>
      <c r="U18" s="10"/>
      <c r="V18" s="27"/>
      <c r="W18" s="12" t="s">
        <v>47</v>
      </c>
      <c r="X18" s="10">
        <v>46081.0</v>
      </c>
      <c r="Y18" s="11" t="s">
        <v>33</v>
      </c>
      <c r="Z18" s="18" t="s">
        <v>325</v>
      </c>
      <c r="AA18" s="12" t="s">
        <v>37</v>
      </c>
      <c r="AB18" s="10">
        <v>46086.0</v>
      </c>
      <c r="AC18" s="11" t="s">
        <v>33</v>
      </c>
    </row>
    <row r="19" ht="22.5" customHeight="1">
      <c r="A19" s="5">
        <v>4.0</v>
      </c>
      <c r="B19" s="53">
        <v>2.0</v>
      </c>
      <c r="C19" s="5" t="s">
        <v>326</v>
      </c>
      <c r="D19" s="22" t="s">
        <v>149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1</v>
      </c>
      <c r="G19" s="37"/>
      <c r="H19" s="36" t="s">
        <v>156</v>
      </c>
      <c r="I19" s="10"/>
      <c r="J19" s="11" t="s">
        <v>33</v>
      </c>
      <c r="K19" s="12" t="s">
        <v>34</v>
      </c>
      <c r="L19" s="10"/>
      <c r="M19" s="11" t="s">
        <v>35</v>
      </c>
      <c r="N19" s="12"/>
      <c r="O19" s="10"/>
      <c r="P19" s="11" t="s">
        <v>33</v>
      </c>
      <c r="Q19" s="14"/>
      <c r="R19" s="10"/>
      <c r="S19" s="11" t="s">
        <v>35</v>
      </c>
      <c r="T19" s="12"/>
      <c r="U19" s="10"/>
      <c r="V19" s="27"/>
      <c r="W19" s="12"/>
      <c r="X19" s="10">
        <v>46085.0</v>
      </c>
      <c r="Y19" s="11" t="s">
        <v>33</v>
      </c>
      <c r="Z19" s="18" t="s">
        <v>327</v>
      </c>
      <c r="AA19" s="12" t="s">
        <v>37</v>
      </c>
      <c r="AB19" s="10">
        <v>46086.0</v>
      </c>
      <c r="AC19" s="11" t="s">
        <v>33</v>
      </c>
    </row>
    <row r="20" ht="22.5" customHeight="1">
      <c r="A20" s="5">
        <v>4.0</v>
      </c>
      <c r="B20" s="53">
        <v>2.0</v>
      </c>
      <c r="C20" s="5" t="s">
        <v>328</v>
      </c>
      <c r="D20" s="22" t="s">
        <v>64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1</v>
      </c>
      <c r="G20" s="18" t="s">
        <v>329</v>
      </c>
      <c r="H20" s="36" t="s">
        <v>156</v>
      </c>
      <c r="I20" s="10"/>
      <c r="J20" s="11" t="s">
        <v>33</v>
      </c>
      <c r="K20" s="12" t="s">
        <v>34</v>
      </c>
      <c r="L20" s="10"/>
      <c r="M20" s="11" t="s">
        <v>35</v>
      </c>
      <c r="N20" s="12"/>
      <c r="O20" s="10"/>
      <c r="P20" s="27"/>
      <c r="Q20" s="14"/>
      <c r="R20" s="10"/>
      <c r="S20" s="27"/>
      <c r="T20" s="12"/>
      <c r="U20" s="10"/>
      <c r="V20" s="27"/>
      <c r="W20" s="12" t="s">
        <v>47</v>
      </c>
      <c r="X20" s="10">
        <v>46077.0</v>
      </c>
      <c r="Y20" s="11" t="s">
        <v>33</v>
      </c>
      <c r="Z20" s="18" t="s">
        <v>330</v>
      </c>
      <c r="AA20" s="12" t="s">
        <v>37</v>
      </c>
      <c r="AB20" s="10">
        <v>46086.0</v>
      </c>
      <c r="AC20" s="11" t="s">
        <v>33</v>
      </c>
    </row>
    <row r="21" ht="22.5" customHeight="1">
      <c r="A21" s="16">
        <v>4.0</v>
      </c>
      <c r="B21" s="54">
        <v>3.0</v>
      </c>
      <c r="C21" s="16" t="s">
        <v>331</v>
      </c>
      <c r="D21" s="21" t="s">
        <v>30</v>
      </c>
      <c r="E21" s="7" t="str">
        <f>IFERROR(__xludf.DUMMYFUNCTION("IF(AND(F21 &gt; 0.3, F21 &lt; 0.5), SPARKLINE(F21,{""charttype"",""bar"";""color1"",""Gold"";""max"",1}),
IF(F21 = 1, SPARKLINE(F21,{""charttype"",""bar"";""color1"",""Lime"";""max"",1}),
IF(F21 &gt;= 0.5, SPARKLINE(F21,{""charttype"",""bar"";""color1"",""GreenYel"&amp;"low"";""max"",1}),
SPARKLINE(F21,{""charttype"",""bar"";""color1"",""DarkOrange"";""max"",1}))))"),"")</f>
        <v/>
      </c>
      <c r="F21" s="8">
        <f t="shared" si="1"/>
        <v>1</v>
      </c>
      <c r="G21" s="18" t="s">
        <v>332</v>
      </c>
      <c r="H21" s="36" t="s">
        <v>156</v>
      </c>
      <c r="I21" s="10"/>
      <c r="J21" s="11" t="s">
        <v>33</v>
      </c>
      <c r="K21" s="12" t="s">
        <v>34</v>
      </c>
      <c r="L21" s="10"/>
      <c r="M21" s="11" t="s">
        <v>35</v>
      </c>
      <c r="N21" s="12"/>
      <c r="O21" s="10"/>
      <c r="P21" s="11" t="s">
        <v>33</v>
      </c>
      <c r="Q21" s="14"/>
      <c r="R21" s="10"/>
      <c r="S21" s="11" t="s">
        <v>35</v>
      </c>
      <c r="T21" s="12"/>
      <c r="U21" s="10"/>
      <c r="V21" s="27"/>
      <c r="W21" s="12"/>
      <c r="X21" s="10">
        <v>46085.0</v>
      </c>
      <c r="Y21" s="11" t="s">
        <v>33</v>
      </c>
      <c r="Z21" s="18" t="s">
        <v>333</v>
      </c>
      <c r="AA21" s="12" t="s">
        <v>37</v>
      </c>
      <c r="AB21" s="10">
        <v>46086.0</v>
      </c>
      <c r="AC21" s="11" t="s">
        <v>33</v>
      </c>
    </row>
    <row r="22" ht="22.5" customHeight="1">
      <c r="A22" s="5">
        <v>4.0</v>
      </c>
      <c r="B22" s="53">
        <v>3.0</v>
      </c>
      <c r="C22" s="5" t="s">
        <v>334</v>
      </c>
      <c r="D22" s="22" t="s">
        <v>30</v>
      </c>
      <c r="E22" s="7" t="str">
        <f>IFERROR(__xludf.DUMMYFUNCTION("IF(AND(F22 &gt; 0.3, F22 &lt; 0.5), SPARKLINE(F22,{""charttype"",""bar"";""color1"",""Gold"";""max"",1}),
IF(F22 = 1, SPARKLINE(F22,{""charttype"",""bar"";""color1"",""Lime"";""max"",1}),
IF(F22 &gt;= 0.5, SPARKLINE(F22,{""charttype"",""bar"";""color1"",""GreenYel"&amp;"low"";""max"",1}),
SPARKLINE(F22,{""charttype"",""bar"";""color1"",""DarkOrange"";""max"",1}))))"),"")</f>
        <v/>
      </c>
      <c r="F22" s="8">
        <f t="shared" si="1"/>
        <v>1</v>
      </c>
      <c r="G22" s="18" t="s">
        <v>335</v>
      </c>
      <c r="H22" s="36" t="s">
        <v>156</v>
      </c>
      <c r="I22" s="10"/>
      <c r="J22" s="11" t="s">
        <v>33</v>
      </c>
      <c r="K22" s="12" t="s">
        <v>34</v>
      </c>
      <c r="L22" s="10"/>
      <c r="M22" s="11" t="s">
        <v>35</v>
      </c>
      <c r="N22" s="12"/>
      <c r="O22" s="10"/>
      <c r="P22" s="11" t="s">
        <v>33</v>
      </c>
      <c r="Q22" s="14"/>
      <c r="R22" s="10"/>
      <c r="S22" s="11" t="s">
        <v>35</v>
      </c>
      <c r="T22" s="12"/>
      <c r="U22" s="10"/>
      <c r="V22" s="27"/>
      <c r="W22" s="12"/>
      <c r="X22" s="10">
        <v>46085.0</v>
      </c>
      <c r="Y22" s="11" t="s">
        <v>33</v>
      </c>
      <c r="Z22" s="18" t="s">
        <v>336</v>
      </c>
      <c r="AA22" s="12" t="s">
        <v>37</v>
      </c>
      <c r="AB22" s="10">
        <v>46086.0</v>
      </c>
      <c r="AC22" s="11" t="s">
        <v>33</v>
      </c>
    </row>
    <row r="23" ht="22.5" customHeight="1">
      <c r="A23" s="16">
        <v>4.0</v>
      </c>
      <c r="B23" s="54">
        <v>3.0</v>
      </c>
      <c r="C23" s="16" t="s">
        <v>337</v>
      </c>
      <c r="D23" s="21" t="s">
        <v>30</v>
      </c>
      <c r="E23" s="7" t="str">
        <f>IFERROR(__xludf.DUMMYFUNCTION("IF(AND(F23 &gt; 0.3, F23 &lt; 0.5), SPARKLINE(F23,{""charttype"",""bar"";""color1"",""Gold"";""max"",1}),
IF(F23 = 1, SPARKLINE(F23,{""charttype"",""bar"";""color1"",""Lime"";""max"",1}),
IF(F23 &gt;= 0.5, SPARKLINE(F23,{""charttype"",""bar"";""color1"",""GreenYel"&amp;"low"";""max"",1}),
SPARKLINE(F23,{""charttype"",""bar"";""color1"",""DarkOrange"";""max"",1}))))"),"")</f>
        <v/>
      </c>
      <c r="F23" s="8">
        <f t="shared" si="1"/>
        <v>1</v>
      </c>
      <c r="G23" s="18" t="s">
        <v>338</v>
      </c>
      <c r="H23" s="36" t="s">
        <v>156</v>
      </c>
      <c r="I23" s="10"/>
      <c r="J23" s="11" t="s">
        <v>33</v>
      </c>
      <c r="K23" s="12" t="s">
        <v>34</v>
      </c>
      <c r="L23" s="10"/>
      <c r="M23" s="11" t="s">
        <v>35</v>
      </c>
      <c r="N23" s="12"/>
      <c r="O23" s="10"/>
      <c r="P23" s="11" t="s">
        <v>33</v>
      </c>
      <c r="Q23" s="14"/>
      <c r="R23" s="10"/>
      <c r="S23" s="11" t="s">
        <v>35</v>
      </c>
      <c r="T23" s="12"/>
      <c r="U23" s="10"/>
      <c r="V23" s="27"/>
      <c r="W23" s="12"/>
      <c r="X23" s="10">
        <v>46085.0</v>
      </c>
      <c r="Y23" s="11" t="s">
        <v>33</v>
      </c>
      <c r="Z23" s="18" t="s">
        <v>339</v>
      </c>
      <c r="AA23" s="12" t="s">
        <v>37</v>
      </c>
      <c r="AB23" s="10">
        <v>46086.0</v>
      </c>
      <c r="AC23" s="11" t="s">
        <v>33</v>
      </c>
    </row>
    <row r="24" ht="22.5" customHeight="1">
      <c r="A24" s="5">
        <v>4.0</v>
      </c>
      <c r="B24" s="53">
        <v>3.0</v>
      </c>
      <c r="C24" s="5" t="s">
        <v>340</v>
      </c>
      <c r="D24" s="22" t="s">
        <v>45</v>
      </c>
      <c r="E24" s="7" t="str">
        <f>IFERROR(__xludf.DUMMYFUNCTION("IF(AND(F24 &gt; 0.3, F24 &lt; 0.5), SPARKLINE(F24,{""charttype"",""bar"";""color1"",""Gold"";""max"",1}),
IF(F24 = 1, SPARKLINE(F24,{""charttype"",""bar"";""color1"",""Lime"";""max"",1}),
IF(F24 &gt;= 0.5, SPARKLINE(F24,{""charttype"",""bar"";""color1"",""GreenYel"&amp;"low"";""max"",1}),
SPARKLINE(F24,{""charttype"",""bar"";""color1"",""DarkOrange"";""max"",1}))))"),"")</f>
        <v/>
      </c>
      <c r="F24" s="8">
        <f t="shared" si="1"/>
        <v>1</v>
      </c>
      <c r="G24" s="18" t="s">
        <v>341</v>
      </c>
      <c r="H24" s="36" t="s">
        <v>156</v>
      </c>
      <c r="I24" s="10"/>
      <c r="J24" s="11" t="s">
        <v>33</v>
      </c>
      <c r="K24" s="12" t="s">
        <v>34</v>
      </c>
      <c r="L24" s="10"/>
      <c r="M24" s="11" t="s">
        <v>35</v>
      </c>
      <c r="N24" s="12"/>
      <c r="O24" s="10"/>
      <c r="P24" s="27"/>
      <c r="Q24" s="14"/>
      <c r="R24" s="10"/>
      <c r="S24" s="27"/>
      <c r="T24" s="12"/>
      <c r="U24" s="10"/>
      <c r="V24" s="27"/>
      <c r="W24" s="12" t="s">
        <v>47</v>
      </c>
      <c r="X24" s="10">
        <v>46076.0</v>
      </c>
      <c r="Y24" s="11" t="s">
        <v>33</v>
      </c>
      <c r="Z24" s="18" t="s">
        <v>342</v>
      </c>
      <c r="AA24" s="12" t="s">
        <v>37</v>
      </c>
      <c r="AB24" s="10">
        <v>46086.0</v>
      </c>
      <c r="AC24" s="11" t="s">
        <v>33</v>
      </c>
    </row>
    <row r="25" ht="22.5" customHeight="1">
      <c r="A25" s="16">
        <v>4.0</v>
      </c>
      <c r="B25" s="54">
        <v>3.0</v>
      </c>
      <c r="C25" s="16" t="s">
        <v>343</v>
      </c>
      <c r="D25" s="21" t="s">
        <v>45</v>
      </c>
      <c r="E25" s="7" t="str">
        <f>IFERROR(__xludf.DUMMYFUNCTION("IF(AND(F25 &gt; 0.3, F25 &lt; 0.5), SPARKLINE(F25,{""charttype"",""bar"";""color1"",""Gold"";""max"",1}),
IF(F25 = 1, SPARKLINE(F25,{""charttype"",""bar"";""color1"",""Lime"";""max"",1}),
IF(F25 &gt;= 0.5, SPARKLINE(F25,{""charttype"",""bar"";""color1"",""GreenYel"&amp;"low"";""max"",1}),
SPARKLINE(F25,{""charttype"",""bar"";""color1"",""DarkOrange"";""max"",1}))))"),"")</f>
        <v/>
      </c>
      <c r="F25" s="8">
        <f t="shared" si="1"/>
        <v>1</v>
      </c>
      <c r="G25" s="18" t="s">
        <v>344</v>
      </c>
      <c r="H25" s="36" t="s">
        <v>156</v>
      </c>
      <c r="I25" s="10"/>
      <c r="J25" s="11" t="s">
        <v>33</v>
      </c>
      <c r="K25" s="12" t="s">
        <v>34</v>
      </c>
      <c r="L25" s="10"/>
      <c r="M25" s="11" t="s">
        <v>35</v>
      </c>
      <c r="N25" s="12"/>
      <c r="O25" s="10"/>
      <c r="P25" s="27"/>
      <c r="Q25" s="14"/>
      <c r="R25" s="10"/>
      <c r="S25" s="27"/>
      <c r="T25" s="12"/>
      <c r="U25" s="10"/>
      <c r="V25" s="27"/>
      <c r="W25" s="12" t="s">
        <v>47</v>
      </c>
      <c r="X25" s="10">
        <v>46077.0</v>
      </c>
      <c r="Y25" s="11" t="s">
        <v>33</v>
      </c>
      <c r="Z25" s="18" t="s">
        <v>345</v>
      </c>
      <c r="AA25" s="12" t="s">
        <v>37</v>
      </c>
      <c r="AB25" s="10">
        <v>46086.0</v>
      </c>
      <c r="AC25" s="11" t="s">
        <v>33</v>
      </c>
    </row>
    <row r="26" ht="22.5" customHeight="1">
      <c r="A26" s="5">
        <v>4.0</v>
      </c>
      <c r="B26" s="53">
        <v>3.0</v>
      </c>
      <c r="C26" s="5" t="s">
        <v>346</v>
      </c>
      <c r="D26" s="22" t="s">
        <v>45</v>
      </c>
      <c r="E26" s="7" t="str">
        <f>IFERROR(__xludf.DUMMYFUNCTION("IF(AND(F26 &gt; 0.3, F26 &lt; 0.5), SPARKLINE(F26,{""charttype"",""bar"";""color1"",""Gold"";""max"",1}),
IF(F26 = 1, SPARKLINE(F26,{""charttype"",""bar"";""color1"",""Lime"";""max"",1}),
IF(F26 &gt;= 0.5, SPARKLINE(F26,{""charttype"",""bar"";""color1"",""GreenYel"&amp;"low"";""max"",1}),
SPARKLINE(F26,{""charttype"",""bar"";""color1"",""DarkOrange"";""max"",1}))))"),"")</f>
        <v/>
      </c>
      <c r="F26" s="8">
        <f t="shared" si="1"/>
        <v>1</v>
      </c>
      <c r="G26" s="18" t="s">
        <v>347</v>
      </c>
      <c r="H26" s="36" t="s">
        <v>156</v>
      </c>
      <c r="I26" s="10"/>
      <c r="J26" s="11" t="s">
        <v>33</v>
      </c>
      <c r="K26" s="12" t="s">
        <v>34</v>
      </c>
      <c r="L26" s="10"/>
      <c r="M26" s="11" t="s">
        <v>35</v>
      </c>
      <c r="N26" s="12"/>
      <c r="O26" s="10"/>
      <c r="P26" s="27"/>
      <c r="Q26" s="14"/>
      <c r="R26" s="10"/>
      <c r="S26" s="27"/>
      <c r="T26" s="12"/>
      <c r="U26" s="10"/>
      <c r="V26" s="27"/>
      <c r="W26" s="12" t="s">
        <v>47</v>
      </c>
      <c r="X26" s="10">
        <v>46078.0</v>
      </c>
      <c r="Y26" s="11" t="s">
        <v>33</v>
      </c>
      <c r="Z26" s="18" t="s">
        <v>348</v>
      </c>
      <c r="AA26" s="12" t="s">
        <v>37</v>
      </c>
      <c r="AB26" s="10">
        <v>46086.0</v>
      </c>
      <c r="AC26" s="11" t="s">
        <v>33</v>
      </c>
    </row>
    <row r="27" ht="22.5" customHeight="1">
      <c r="A27" s="16">
        <v>4.0</v>
      </c>
      <c r="B27" s="54">
        <v>3.0</v>
      </c>
      <c r="C27" s="16" t="s">
        <v>349</v>
      </c>
      <c r="D27" s="21" t="s">
        <v>56</v>
      </c>
      <c r="E27" s="7" t="str">
        <f>IFERROR(__xludf.DUMMYFUNCTION("IF(AND(F27 &gt; 0.3, F27 &lt; 0.5), SPARKLINE(F27,{""charttype"",""bar"";""color1"",""Gold"";""max"",1}),
IF(F27 = 1, SPARKLINE(F27,{""charttype"",""bar"";""color1"",""Lime"";""max"",1}),
IF(F27 &gt;= 0.5, SPARKLINE(F27,{""charttype"",""bar"";""color1"",""GreenYel"&amp;"low"";""max"",1}),
SPARKLINE(F27,{""charttype"",""bar"";""color1"",""DarkOrange"";""max"",1}))))"),"")</f>
        <v/>
      </c>
      <c r="F27" s="8">
        <f t="shared" si="1"/>
        <v>1</v>
      </c>
      <c r="G27" s="18" t="s">
        <v>350</v>
      </c>
      <c r="H27" s="36" t="s">
        <v>156</v>
      </c>
      <c r="I27" s="10"/>
      <c r="J27" s="11" t="s">
        <v>33</v>
      </c>
      <c r="K27" s="12" t="s">
        <v>34</v>
      </c>
      <c r="L27" s="10"/>
      <c r="M27" s="11" t="s">
        <v>35</v>
      </c>
      <c r="N27" s="12"/>
      <c r="O27" s="10"/>
      <c r="P27" s="27"/>
      <c r="Q27" s="14"/>
      <c r="R27" s="10"/>
      <c r="S27" s="27"/>
      <c r="T27" s="12"/>
      <c r="U27" s="10"/>
      <c r="V27" s="27"/>
      <c r="W27" s="12" t="s">
        <v>47</v>
      </c>
      <c r="X27" s="10">
        <v>46074.0</v>
      </c>
      <c r="Y27" s="11" t="s">
        <v>33</v>
      </c>
      <c r="Z27" s="18" t="s">
        <v>351</v>
      </c>
      <c r="AA27" s="12" t="s">
        <v>37</v>
      </c>
      <c r="AB27" s="10">
        <v>46086.0</v>
      </c>
      <c r="AC27" s="11" t="s">
        <v>33</v>
      </c>
    </row>
    <row r="28" ht="22.5" customHeight="1">
      <c r="A28" s="5">
        <v>4.0</v>
      </c>
      <c r="B28" s="53">
        <v>3.0</v>
      </c>
      <c r="C28" s="5" t="s">
        <v>352</v>
      </c>
      <c r="D28" s="22" t="s">
        <v>60</v>
      </c>
      <c r="E28" s="7" t="str">
        <f>IFERROR(__xludf.DUMMYFUNCTION("IF(AND(F28 &gt; 0.3, F28 &lt; 0.5), SPARKLINE(F28,{""charttype"",""bar"";""color1"",""Gold"";""max"",1}),
IF(F28 = 1, SPARKLINE(F28,{""charttype"",""bar"";""color1"",""Lime"";""max"",1}),
IF(F28 &gt;= 0.5, SPARKLINE(F28,{""charttype"",""bar"";""color1"",""GreenYel"&amp;"low"";""max"",1}),
SPARKLINE(F28,{""charttype"",""bar"";""color1"",""DarkOrange"";""max"",1}))))"),"")</f>
        <v/>
      </c>
      <c r="F28" s="8">
        <f t="shared" si="1"/>
        <v>1</v>
      </c>
      <c r="G28" s="18" t="s">
        <v>353</v>
      </c>
      <c r="H28" s="36" t="s">
        <v>156</v>
      </c>
      <c r="I28" s="10"/>
      <c r="J28" s="11" t="s">
        <v>33</v>
      </c>
      <c r="K28" s="12" t="s">
        <v>34</v>
      </c>
      <c r="L28" s="10"/>
      <c r="M28" s="11" t="s">
        <v>35</v>
      </c>
      <c r="N28" s="12"/>
      <c r="O28" s="10"/>
      <c r="P28" s="27"/>
      <c r="Q28" s="14"/>
      <c r="R28" s="10"/>
      <c r="S28" s="27"/>
      <c r="T28" s="12"/>
      <c r="U28" s="10"/>
      <c r="V28" s="27"/>
      <c r="W28" s="12" t="s">
        <v>47</v>
      </c>
      <c r="X28" s="10">
        <v>46077.0</v>
      </c>
      <c r="Y28" s="11" t="s">
        <v>33</v>
      </c>
      <c r="Z28" s="18" t="s">
        <v>354</v>
      </c>
      <c r="AA28" s="12" t="s">
        <v>37</v>
      </c>
      <c r="AB28" s="10">
        <v>46086.0</v>
      </c>
      <c r="AC28" s="11" t="s">
        <v>33</v>
      </c>
    </row>
    <row r="29" ht="22.5" customHeight="1">
      <c r="A29" s="16">
        <v>4.0</v>
      </c>
      <c r="B29" s="54">
        <v>3.0</v>
      </c>
      <c r="C29" s="16" t="s">
        <v>355</v>
      </c>
      <c r="D29" s="21" t="s">
        <v>149</v>
      </c>
      <c r="E29" s="7" t="str">
        <f>IFERROR(__xludf.DUMMYFUNCTION("IF(AND(F29 &gt; 0.3, F29 &lt; 0.5), SPARKLINE(F29,{""charttype"",""bar"";""color1"",""Gold"";""max"",1}),
IF(F29 = 1, SPARKLINE(F29,{""charttype"",""bar"";""color1"",""Lime"";""max"",1}),
IF(F29 &gt;= 0.5, SPARKLINE(F29,{""charttype"",""bar"";""color1"",""GreenYel"&amp;"low"";""max"",1}),
SPARKLINE(F29,{""charttype"",""bar"";""color1"",""DarkOrange"";""max"",1}))))"),"")</f>
        <v/>
      </c>
      <c r="F29" s="8">
        <f t="shared" si="1"/>
        <v>1</v>
      </c>
      <c r="G29" s="37"/>
      <c r="H29" s="36" t="s">
        <v>156</v>
      </c>
      <c r="I29" s="10"/>
      <c r="J29" s="11" t="s">
        <v>33</v>
      </c>
      <c r="K29" s="12" t="s">
        <v>34</v>
      </c>
      <c r="L29" s="10"/>
      <c r="M29" s="11" t="s">
        <v>35</v>
      </c>
      <c r="N29" s="12"/>
      <c r="O29" s="10"/>
      <c r="P29" s="11" t="s">
        <v>33</v>
      </c>
      <c r="Q29" s="14"/>
      <c r="R29" s="10"/>
      <c r="S29" s="11" t="s">
        <v>35</v>
      </c>
      <c r="T29" s="12"/>
      <c r="U29" s="10"/>
      <c r="V29" s="27"/>
      <c r="W29" s="12"/>
      <c r="X29" s="10">
        <v>46085.0</v>
      </c>
      <c r="Y29" s="11" t="s">
        <v>33</v>
      </c>
      <c r="Z29" s="18" t="s">
        <v>356</v>
      </c>
      <c r="AA29" s="12" t="s">
        <v>37</v>
      </c>
      <c r="AB29" s="10">
        <v>46086.0</v>
      </c>
      <c r="AC29" s="11" t="s">
        <v>33</v>
      </c>
    </row>
    <row r="30" ht="22.5" customHeight="1">
      <c r="A30" s="16">
        <v>4.0</v>
      </c>
      <c r="B30" s="54">
        <v>3.0</v>
      </c>
      <c r="C30" s="16" t="s">
        <v>357</v>
      </c>
      <c r="D30" s="21" t="s">
        <v>64</v>
      </c>
      <c r="E30" s="7" t="str">
        <f>IFERROR(__xludf.DUMMYFUNCTION("IF(AND(F30 &gt; 0.3, F30 &lt; 0.5), SPARKLINE(F30,{""charttype"",""bar"";""color1"",""Gold"";""max"",1}),
IF(F30 = 1, SPARKLINE(F30,{""charttype"",""bar"";""color1"",""Lime"";""max"",1}),
IF(F30 &gt;= 0.5, SPARKLINE(F30,{""charttype"",""bar"";""color1"",""GreenYel"&amp;"low"";""max"",1}),
SPARKLINE(F30,{""charttype"",""bar"";""color1"",""DarkOrange"";""max"",1}))))"),"")</f>
        <v/>
      </c>
      <c r="F30" s="8">
        <f t="shared" si="1"/>
        <v>1</v>
      </c>
      <c r="G30" s="18" t="s">
        <v>358</v>
      </c>
      <c r="H30" s="36" t="s">
        <v>156</v>
      </c>
      <c r="I30" s="10"/>
      <c r="J30" s="11" t="s">
        <v>33</v>
      </c>
      <c r="K30" s="12" t="s">
        <v>34</v>
      </c>
      <c r="L30" s="10"/>
      <c r="M30" s="11" t="s">
        <v>35</v>
      </c>
      <c r="N30" s="12"/>
      <c r="O30" s="10"/>
      <c r="P30" s="27"/>
      <c r="Q30" s="14"/>
      <c r="R30" s="10"/>
      <c r="S30" s="27"/>
      <c r="T30" s="12"/>
      <c r="U30" s="10"/>
      <c r="V30" s="27"/>
      <c r="W30" s="12" t="s">
        <v>47</v>
      </c>
      <c r="X30" s="10">
        <v>46078.0</v>
      </c>
      <c r="Y30" s="11" t="s">
        <v>33</v>
      </c>
      <c r="Z30" s="18" t="s">
        <v>359</v>
      </c>
      <c r="AA30" s="12" t="s">
        <v>37</v>
      </c>
      <c r="AB30" s="10">
        <v>46086.0</v>
      </c>
      <c r="AC30" s="11" t="s">
        <v>33</v>
      </c>
    </row>
    <row r="31" ht="22.5" customHeight="1">
      <c r="A31" s="5">
        <v>4.0</v>
      </c>
      <c r="B31" s="53">
        <v>4.0</v>
      </c>
      <c r="C31" s="5" t="s">
        <v>360</v>
      </c>
      <c r="D31" s="22" t="s">
        <v>30</v>
      </c>
      <c r="E31" s="7" t="str">
        <f>IFERROR(__xludf.DUMMYFUNCTION("IF(AND(F31 &gt; 0.3, F31 &lt; 0.5), SPARKLINE(F31,{""charttype"",""bar"";""color1"",""Gold"";""max"",1}),
IF(F31 = 1, SPARKLINE(F31,{""charttype"",""bar"";""color1"",""Lime"";""max"",1}),
IF(F31 &gt;= 0.5, SPARKLINE(F31,{""charttype"",""bar"";""color1"",""GreenYel"&amp;"low"";""max"",1}),
SPARKLINE(F31,{""charttype"",""bar"";""color1"",""DarkOrange"";""max"",1}))))"),"")</f>
        <v/>
      </c>
      <c r="F31" s="8">
        <f t="shared" si="1"/>
        <v>1</v>
      </c>
      <c r="G31" s="18" t="s">
        <v>361</v>
      </c>
      <c r="H31" s="36" t="s">
        <v>156</v>
      </c>
      <c r="I31" s="10"/>
      <c r="J31" s="11" t="s">
        <v>33</v>
      </c>
      <c r="K31" s="12" t="s">
        <v>34</v>
      </c>
      <c r="L31" s="10"/>
      <c r="M31" s="11" t="s">
        <v>35</v>
      </c>
      <c r="N31" s="12"/>
      <c r="O31" s="10"/>
      <c r="P31" s="11" t="s">
        <v>33</v>
      </c>
      <c r="Q31" s="14"/>
      <c r="R31" s="10"/>
      <c r="S31" s="11" t="s">
        <v>35</v>
      </c>
      <c r="T31" s="12"/>
      <c r="U31" s="10"/>
      <c r="V31" s="27"/>
      <c r="W31" s="12"/>
      <c r="X31" s="10">
        <v>46085.0</v>
      </c>
      <c r="Y31" s="11" t="s">
        <v>33</v>
      </c>
      <c r="Z31" s="18" t="s">
        <v>362</v>
      </c>
      <c r="AA31" s="12" t="s">
        <v>37</v>
      </c>
      <c r="AB31" s="10">
        <v>46086.0</v>
      </c>
      <c r="AC31" s="11" t="s">
        <v>33</v>
      </c>
    </row>
    <row r="32" ht="22.5" customHeight="1">
      <c r="A32" s="16">
        <v>4.0</v>
      </c>
      <c r="B32" s="54">
        <v>4.0</v>
      </c>
      <c r="C32" s="16" t="s">
        <v>363</v>
      </c>
      <c r="D32" s="21" t="s">
        <v>30</v>
      </c>
      <c r="E32" s="7" t="str">
        <f>IFERROR(__xludf.DUMMYFUNCTION("IF(AND(F32 &gt; 0.3, F32 &lt; 0.5), SPARKLINE(F32,{""charttype"",""bar"";""color1"",""Gold"";""max"",1}),
IF(F32 = 1, SPARKLINE(F32,{""charttype"",""bar"";""color1"",""Lime"";""max"",1}),
IF(F32 &gt;= 0.5, SPARKLINE(F32,{""charttype"",""bar"";""color1"",""GreenYel"&amp;"low"";""max"",1}),
SPARKLINE(F32,{""charttype"",""bar"";""color1"",""DarkOrange"";""max"",1}))))"),"")</f>
        <v/>
      </c>
      <c r="F32" s="8">
        <f t="shared" si="1"/>
        <v>1</v>
      </c>
      <c r="G32" s="18" t="s">
        <v>364</v>
      </c>
      <c r="H32" s="36" t="s">
        <v>156</v>
      </c>
      <c r="I32" s="10"/>
      <c r="J32" s="11" t="s">
        <v>33</v>
      </c>
      <c r="K32" s="12" t="s">
        <v>34</v>
      </c>
      <c r="L32" s="10"/>
      <c r="M32" s="11" t="s">
        <v>35</v>
      </c>
      <c r="N32" s="12"/>
      <c r="O32" s="10"/>
      <c r="P32" s="11" t="s">
        <v>33</v>
      </c>
      <c r="Q32" s="14"/>
      <c r="R32" s="10"/>
      <c r="S32" s="11" t="s">
        <v>35</v>
      </c>
      <c r="T32" s="12"/>
      <c r="U32" s="10"/>
      <c r="V32" s="27"/>
      <c r="W32" s="12"/>
      <c r="X32" s="10">
        <v>46085.0</v>
      </c>
      <c r="Y32" s="11" t="s">
        <v>33</v>
      </c>
      <c r="Z32" s="18" t="s">
        <v>365</v>
      </c>
      <c r="AA32" s="12" t="s">
        <v>37</v>
      </c>
      <c r="AB32" s="10">
        <v>46086.0</v>
      </c>
      <c r="AC32" s="11" t="s">
        <v>33</v>
      </c>
    </row>
    <row r="33" ht="22.5" customHeight="1">
      <c r="A33" s="5">
        <v>4.0</v>
      </c>
      <c r="B33" s="53">
        <v>4.0</v>
      </c>
      <c r="C33" s="5" t="s">
        <v>366</v>
      </c>
      <c r="D33" s="22" t="s">
        <v>45</v>
      </c>
      <c r="E33" s="7" t="str">
        <f>IFERROR(__xludf.DUMMYFUNCTION("IF(AND(F33 &gt; 0.3, F33 &lt; 0.5), SPARKLINE(F33,{""charttype"",""bar"";""color1"",""Gold"";""max"",1}),
IF(F33 = 1, SPARKLINE(F33,{""charttype"",""bar"";""color1"",""Lime"";""max"",1}),
IF(F33 &gt;= 0.5, SPARKLINE(F33,{""charttype"",""bar"";""color1"",""GreenYel"&amp;"low"";""max"",1}),
SPARKLINE(F33,{""charttype"",""bar"";""color1"",""DarkOrange"";""max"",1}))))"),"")</f>
        <v/>
      </c>
      <c r="F33" s="8">
        <f t="shared" si="1"/>
        <v>1</v>
      </c>
      <c r="G33" s="18" t="s">
        <v>367</v>
      </c>
      <c r="H33" s="36" t="s">
        <v>156</v>
      </c>
      <c r="I33" s="10"/>
      <c r="J33" s="11" t="s">
        <v>33</v>
      </c>
      <c r="K33" s="12" t="s">
        <v>34</v>
      </c>
      <c r="L33" s="10"/>
      <c r="M33" s="11" t="s">
        <v>35</v>
      </c>
      <c r="N33" s="12"/>
      <c r="O33" s="10"/>
      <c r="P33" s="27"/>
      <c r="Q33" s="14"/>
      <c r="R33" s="10"/>
      <c r="S33" s="27"/>
      <c r="T33" s="12"/>
      <c r="U33" s="10"/>
      <c r="V33" s="27"/>
      <c r="W33" s="12" t="s">
        <v>47</v>
      </c>
      <c r="X33" s="10">
        <v>46079.0</v>
      </c>
      <c r="Y33" s="11" t="s">
        <v>33</v>
      </c>
      <c r="Z33" s="18" t="s">
        <v>368</v>
      </c>
      <c r="AA33" s="12" t="s">
        <v>37</v>
      </c>
      <c r="AB33" s="10">
        <v>46086.0</v>
      </c>
      <c r="AC33" s="11" t="s">
        <v>33</v>
      </c>
    </row>
    <row r="34" ht="22.5" customHeight="1">
      <c r="A34" s="16">
        <v>4.0</v>
      </c>
      <c r="B34" s="54">
        <v>4.0</v>
      </c>
      <c r="C34" s="16" t="s">
        <v>369</v>
      </c>
      <c r="D34" s="21" t="s">
        <v>45</v>
      </c>
      <c r="E34" s="7" t="str">
        <f>IFERROR(__xludf.DUMMYFUNCTION("IF(AND(F34 &gt; 0.3, F34 &lt; 0.5), SPARKLINE(F34,{""charttype"",""bar"";""color1"",""Gold"";""max"",1}),
IF(F34 = 1, SPARKLINE(F34,{""charttype"",""bar"";""color1"",""Lime"";""max"",1}),
IF(F34 &gt;= 0.5, SPARKLINE(F34,{""charttype"",""bar"";""color1"",""GreenYel"&amp;"low"";""max"",1}),
SPARKLINE(F34,{""charttype"",""bar"";""color1"",""DarkOrange"";""max"",1}))))"),"")</f>
        <v/>
      </c>
      <c r="F34" s="8">
        <f t="shared" si="1"/>
        <v>1</v>
      </c>
      <c r="G34" s="18" t="s">
        <v>370</v>
      </c>
      <c r="H34" s="36" t="s">
        <v>156</v>
      </c>
      <c r="I34" s="10"/>
      <c r="J34" s="11" t="s">
        <v>33</v>
      </c>
      <c r="K34" s="12" t="s">
        <v>34</v>
      </c>
      <c r="L34" s="10"/>
      <c r="M34" s="11" t="s">
        <v>35</v>
      </c>
      <c r="N34" s="12"/>
      <c r="O34" s="10"/>
      <c r="P34" s="27"/>
      <c r="Q34" s="14"/>
      <c r="R34" s="10"/>
      <c r="S34" s="27"/>
      <c r="T34" s="12"/>
      <c r="U34" s="10"/>
      <c r="V34" s="27"/>
      <c r="W34" s="12" t="s">
        <v>47</v>
      </c>
      <c r="X34" s="10">
        <v>46080.0</v>
      </c>
      <c r="Y34" s="11" t="s">
        <v>33</v>
      </c>
      <c r="Z34" s="18" t="s">
        <v>371</v>
      </c>
      <c r="AA34" s="12" t="s">
        <v>37</v>
      </c>
      <c r="AB34" s="10">
        <v>46086.0</v>
      </c>
      <c r="AC34" s="11" t="s">
        <v>33</v>
      </c>
    </row>
    <row r="35" ht="22.5" customHeight="1">
      <c r="A35" s="5">
        <v>4.0</v>
      </c>
      <c r="B35" s="53">
        <v>4.0</v>
      </c>
      <c r="C35" s="5" t="s">
        <v>372</v>
      </c>
      <c r="D35" s="22" t="s">
        <v>56</v>
      </c>
      <c r="E35" s="7" t="str">
        <f>IFERROR(__xludf.DUMMYFUNCTION("IF(AND(F35 &gt; 0.3, F35 &lt; 0.5), SPARKLINE(F35,{""charttype"",""bar"";""color1"",""Gold"";""max"",1}),
IF(F35 = 1, SPARKLINE(F35,{""charttype"",""bar"";""color1"",""Lime"";""max"",1}),
IF(F35 &gt;= 0.5, SPARKLINE(F35,{""charttype"",""bar"";""color1"",""GreenYel"&amp;"low"";""max"",1}),
SPARKLINE(F35,{""charttype"",""bar"";""color1"",""DarkOrange"";""max"",1}))))"),"")</f>
        <v/>
      </c>
      <c r="F35" s="8">
        <f t="shared" si="1"/>
        <v>1</v>
      </c>
      <c r="G35" s="18" t="s">
        <v>373</v>
      </c>
      <c r="H35" s="36" t="s">
        <v>156</v>
      </c>
      <c r="I35" s="10"/>
      <c r="J35" s="11" t="s">
        <v>33</v>
      </c>
      <c r="K35" s="12" t="s">
        <v>34</v>
      </c>
      <c r="L35" s="10"/>
      <c r="M35" s="11" t="s">
        <v>35</v>
      </c>
      <c r="N35" s="12"/>
      <c r="O35" s="10"/>
      <c r="P35" s="27"/>
      <c r="Q35" s="14"/>
      <c r="R35" s="10"/>
      <c r="S35" s="27"/>
      <c r="T35" s="12"/>
      <c r="U35" s="10"/>
      <c r="V35" s="27"/>
      <c r="W35" s="12" t="s">
        <v>47</v>
      </c>
      <c r="X35" s="10">
        <v>46075.0</v>
      </c>
      <c r="Y35" s="11" t="s">
        <v>33</v>
      </c>
      <c r="Z35" s="18" t="s">
        <v>351</v>
      </c>
      <c r="AA35" s="12" t="s">
        <v>37</v>
      </c>
      <c r="AB35" s="10">
        <v>46086.0</v>
      </c>
      <c r="AC35" s="11" t="s">
        <v>33</v>
      </c>
    </row>
    <row r="36" ht="22.5" customHeight="1">
      <c r="A36" s="16">
        <v>4.0</v>
      </c>
      <c r="B36" s="54">
        <v>4.0</v>
      </c>
      <c r="C36" s="16" t="s">
        <v>374</v>
      </c>
      <c r="D36" s="21" t="s">
        <v>60</v>
      </c>
      <c r="E36" s="7" t="str">
        <f>IFERROR(__xludf.DUMMYFUNCTION("IF(AND(F36 &gt; 0.3, F36 &lt; 0.5), SPARKLINE(F36,{""charttype"",""bar"";""color1"",""Gold"";""max"",1}),
IF(F36 = 1, SPARKLINE(F36,{""charttype"",""bar"";""color1"",""Lime"";""max"",1}),
IF(F36 &gt;= 0.5, SPARKLINE(F36,{""charttype"",""bar"";""color1"",""GreenYel"&amp;"low"";""max"",1}),
SPARKLINE(F36,{""charttype"",""bar"";""color1"",""DarkOrange"";""max"",1}))))"),"")</f>
        <v/>
      </c>
      <c r="F36" s="8">
        <f t="shared" si="1"/>
        <v>1</v>
      </c>
      <c r="G36" s="18" t="s">
        <v>375</v>
      </c>
      <c r="H36" s="36" t="s">
        <v>156</v>
      </c>
      <c r="I36" s="10"/>
      <c r="J36" s="11" t="s">
        <v>33</v>
      </c>
      <c r="K36" s="12" t="s">
        <v>34</v>
      </c>
      <c r="L36" s="10"/>
      <c r="M36" s="11" t="s">
        <v>35</v>
      </c>
      <c r="N36" s="12"/>
      <c r="O36" s="10"/>
      <c r="P36" s="27"/>
      <c r="Q36" s="14"/>
      <c r="R36" s="10"/>
      <c r="S36" s="27"/>
      <c r="T36" s="12"/>
      <c r="U36" s="10"/>
      <c r="V36" s="27"/>
      <c r="W36" s="12" t="s">
        <v>47</v>
      </c>
      <c r="X36" s="10">
        <v>46083.0</v>
      </c>
      <c r="Y36" s="11" t="s">
        <v>33</v>
      </c>
      <c r="Z36" s="18" t="s">
        <v>376</v>
      </c>
      <c r="AA36" s="12" t="s">
        <v>37</v>
      </c>
      <c r="AB36" s="10">
        <v>46086.0</v>
      </c>
      <c r="AC36" s="11" t="s">
        <v>33</v>
      </c>
    </row>
    <row r="37" ht="22.5" customHeight="1">
      <c r="A37" s="5">
        <v>4.0</v>
      </c>
      <c r="B37" s="53">
        <v>4.0</v>
      </c>
      <c r="C37" s="5" t="s">
        <v>377</v>
      </c>
      <c r="D37" s="22" t="s">
        <v>149</v>
      </c>
      <c r="E37" s="7" t="str">
        <f>IFERROR(__xludf.DUMMYFUNCTION("IF(AND(F37 &gt; 0.3, F37 &lt; 0.5), SPARKLINE(F37,{""charttype"",""bar"";""color1"",""Gold"";""max"",1}),
IF(F37 = 1, SPARKLINE(F37,{""charttype"",""bar"";""color1"",""Lime"";""max"",1}),
IF(F37 &gt;= 0.5, SPARKLINE(F37,{""charttype"",""bar"";""color1"",""GreenYel"&amp;"low"";""max"",1}),
SPARKLINE(F37,{""charttype"",""bar"";""color1"",""DarkOrange"";""max"",1}))))"),"")</f>
        <v/>
      </c>
      <c r="F37" s="8">
        <f t="shared" si="1"/>
        <v>1</v>
      </c>
      <c r="H37" s="36" t="s">
        <v>156</v>
      </c>
      <c r="I37" s="10"/>
      <c r="J37" s="11" t="s">
        <v>33</v>
      </c>
      <c r="K37" s="12" t="s">
        <v>34</v>
      </c>
      <c r="L37" s="10"/>
      <c r="M37" s="11" t="s">
        <v>35</v>
      </c>
      <c r="N37" s="12"/>
      <c r="O37" s="10"/>
      <c r="P37" s="11" t="s">
        <v>33</v>
      </c>
      <c r="Q37" s="14"/>
      <c r="R37" s="10"/>
      <c r="S37" s="11" t="s">
        <v>35</v>
      </c>
      <c r="T37" s="12"/>
      <c r="U37" s="10"/>
      <c r="V37" s="27"/>
      <c r="W37" s="12"/>
      <c r="X37" s="10">
        <v>46085.0</v>
      </c>
      <c r="Y37" s="11" t="s">
        <v>33</v>
      </c>
      <c r="Z37" s="18" t="s">
        <v>378</v>
      </c>
      <c r="AA37" s="12" t="s">
        <v>37</v>
      </c>
      <c r="AB37" s="10">
        <v>46086.0</v>
      </c>
      <c r="AC37" s="11" t="s">
        <v>33</v>
      </c>
    </row>
    <row r="38" ht="22.5" customHeight="1">
      <c r="A38" s="16">
        <v>4.0</v>
      </c>
      <c r="B38" s="54">
        <v>4.0</v>
      </c>
      <c r="C38" s="16" t="s">
        <v>379</v>
      </c>
      <c r="D38" s="21" t="s">
        <v>95</v>
      </c>
      <c r="E38" s="7" t="str">
        <f>IFERROR(__xludf.DUMMYFUNCTION("IF(AND(F38 &gt; 0.3, F38 &lt; 0.5), SPARKLINE(F38,{""charttype"",""bar"";""color1"",""Gold"";""max"",1}),
IF(F38 = 1, SPARKLINE(F38,{""charttype"",""bar"";""color1"",""Lime"";""max"",1}),
IF(F38 &gt;= 0.5, SPARKLINE(F38,{""charttype"",""bar"";""color1"",""GreenYel"&amp;"low"";""max"",1}),
SPARKLINE(F38,{""charttype"",""bar"";""color1"",""DarkOrange"";""max"",1}))))"),"")</f>
        <v/>
      </c>
      <c r="F38" s="8">
        <f t="shared" si="1"/>
        <v>0.6666666667</v>
      </c>
      <c r="G38" s="18" t="s">
        <v>380</v>
      </c>
      <c r="H38" s="36" t="s">
        <v>156</v>
      </c>
      <c r="I38" s="10"/>
      <c r="J38" s="11" t="s">
        <v>271</v>
      </c>
      <c r="K38" s="12" t="s">
        <v>34</v>
      </c>
      <c r="L38" s="10"/>
      <c r="M38" s="11"/>
      <c r="N38" s="12"/>
      <c r="O38" s="10"/>
      <c r="P38" s="27"/>
      <c r="Q38" s="14"/>
      <c r="R38" s="10"/>
      <c r="S38" s="27"/>
      <c r="T38" s="12"/>
      <c r="U38" s="10"/>
      <c r="V38" s="27"/>
      <c r="W38" s="12" t="s">
        <v>47</v>
      </c>
      <c r="X38" s="10">
        <v>46084.0</v>
      </c>
      <c r="Y38" s="11" t="s">
        <v>33</v>
      </c>
      <c r="Z38" s="18" t="s">
        <v>381</v>
      </c>
      <c r="AA38" s="12" t="s">
        <v>37</v>
      </c>
      <c r="AB38" s="10">
        <v>46086.0</v>
      </c>
      <c r="AC38" s="11" t="s">
        <v>33</v>
      </c>
    </row>
    <row r="39" ht="22.5" customHeight="1">
      <c r="A39" s="5">
        <v>4.0</v>
      </c>
      <c r="B39" s="53">
        <v>4.0</v>
      </c>
      <c r="C39" s="5" t="s">
        <v>382</v>
      </c>
      <c r="D39" s="22" t="s">
        <v>64</v>
      </c>
      <c r="E39" s="7" t="str">
        <f>IFERROR(__xludf.DUMMYFUNCTION("IF(AND(F39 &gt; 0.3, F39 &lt; 0.5), SPARKLINE(F39,{""charttype"",""bar"";""color1"",""Gold"";""max"",1}),
IF(F39 = 1, SPARKLINE(F39,{""charttype"",""bar"";""color1"",""Lime"";""max"",1}),
IF(F39 &gt;= 0.5, SPARKLINE(F39,{""charttype"",""bar"";""color1"",""GreenYel"&amp;"low"";""max"",1}),
SPARKLINE(F39,{""charttype"",""bar"";""color1"",""DarkOrange"";""max"",1}))))"),"")</f>
        <v/>
      </c>
      <c r="F39" s="8">
        <f t="shared" si="1"/>
        <v>1</v>
      </c>
      <c r="G39" s="18" t="s">
        <v>383</v>
      </c>
      <c r="H39" s="36" t="s">
        <v>156</v>
      </c>
      <c r="I39" s="10"/>
      <c r="J39" s="11" t="s">
        <v>33</v>
      </c>
      <c r="K39" s="12" t="s">
        <v>34</v>
      </c>
      <c r="L39" s="10"/>
      <c r="M39" s="11" t="s">
        <v>35</v>
      </c>
      <c r="N39" s="12"/>
      <c r="O39" s="10"/>
      <c r="P39" s="27"/>
      <c r="Q39" s="14"/>
      <c r="R39" s="10"/>
      <c r="S39" s="27"/>
      <c r="T39" s="12"/>
      <c r="U39" s="10"/>
      <c r="V39" s="27"/>
      <c r="W39" s="12" t="s">
        <v>47</v>
      </c>
      <c r="X39" s="10">
        <v>46079.0</v>
      </c>
      <c r="Y39" s="11" t="s">
        <v>33</v>
      </c>
      <c r="Z39" s="18" t="s">
        <v>384</v>
      </c>
      <c r="AA39" s="12" t="s">
        <v>37</v>
      </c>
      <c r="AB39" s="10">
        <v>46086.0</v>
      </c>
      <c r="AC39" s="11" t="s">
        <v>33</v>
      </c>
    </row>
  </sheetData>
  <dataValidations>
    <dataValidation type="list" allowBlank="1" sqref="P2:P39 S2:S39 Y2:Y39">
      <formula1>"Concluído,Em Andamento,Pendente,Precisa de Alteração"</formula1>
    </dataValidation>
    <dataValidation type="list" allowBlank="1" sqref="J2:J39">
      <formula1>"Concluído,Em Andamento,Pendente,Precisa de Alteração,Não há"</formula1>
    </dataValidation>
    <dataValidation type="custom" allowBlank="1" showDropDown="1" sqref="I2:I39 L2:L39 O2:O39 R2:R39 U2:U39 X2:X39 AB2:AB39">
      <formula1>OR(NOT(ISERROR(DATEVALUE(I2))), AND(ISNUMBER(I2), LEFT(CELL("format", I2))="D"))</formula1>
    </dataValidation>
    <dataValidation type="list" allowBlank="1" sqref="V2:V39">
      <formula1>"Concluído,Em Andamento,Pendente,Precisa de Alteração,Não Há"</formula1>
    </dataValidation>
    <dataValidation type="list" allowBlank="1" sqref="AC2:AC39">
      <formula1>"Concluído,Em Andamento,Pendente,Aguardando Correção"</formula1>
    </dataValidation>
    <dataValidation type="custom" allowBlank="1" showDropDown="1" sqref="F2:F39">
      <formula1>AND(ISNUMBER(F2),(NOT(OR(NOT(ISERROR(DATEVALUE(F2))), AND(ISNUMBER(F2), LEFT(CELL("format", F2))="D")))))</formula1>
    </dataValidation>
    <dataValidation type="list" allowBlank="1" sqref="M2:M39">
      <formula1>"Concluído,Em Andamento,Pendente,Aguardando Correção,Não há"</formula1>
    </dataValidation>
  </dataValidations>
  <hyperlinks>
    <hyperlink r:id="rId4" ref="G2"/>
    <hyperlink r:id="rId5" ref="H2"/>
    <hyperlink r:id="rId6" ref="Z2"/>
    <hyperlink r:id="rId7" ref="G3"/>
    <hyperlink r:id="rId8" ref="H3"/>
    <hyperlink r:id="rId9" ref="Z3"/>
    <hyperlink r:id="rId10" ref="G4"/>
    <hyperlink r:id="rId11" ref="H4"/>
    <hyperlink r:id="rId12" ref="Z4"/>
    <hyperlink r:id="rId13" ref="G5"/>
    <hyperlink r:id="rId14" ref="H5"/>
    <hyperlink r:id="rId15" ref="Z5"/>
    <hyperlink r:id="rId16" ref="G6"/>
    <hyperlink r:id="rId17" ref="H6"/>
    <hyperlink r:id="rId18" ref="Z6"/>
    <hyperlink r:id="rId19" ref="G7"/>
    <hyperlink r:id="rId20" ref="H7"/>
    <hyperlink r:id="rId21" ref="Z7"/>
    <hyperlink r:id="rId22" ref="G8"/>
    <hyperlink r:id="rId23" ref="H8"/>
    <hyperlink r:id="rId24" ref="Z8"/>
    <hyperlink r:id="rId25" ref="H9"/>
    <hyperlink r:id="rId26" ref="Z9"/>
    <hyperlink r:id="rId27" ref="G10"/>
    <hyperlink r:id="rId28" ref="H10"/>
    <hyperlink r:id="rId29" ref="Z10"/>
    <hyperlink r:id="rId30" ref="G11"/>
    <hyperlink r:id="rId31" ref="H11"/>
    <hyperlink r:id="rId32" ref="Z11"/>
    <hyperlink r:id="rId33" ref="G12"/>
    <hyperlink r:id="rId34" ref="H12"/>
    <hyperlink r:id="rId35" ref="Z12"/>
    <hyperlink r:id="rId36" ref="G13"/>
    <hyperlink r:id="rId37" ref="H13"/>
    <hyperlink r:id="rId38" ref="Z13"/>
    <hyperlink r:id="rId39" ref="G14"/>
    <hyperlink r:id="rId40" ref="H14"/>
    <hyperlink r:id="rId41" ref="Z14"/>
    <hyperlink r:id="rId42" ref="G15"/>
    <hyperlink r:id="rId43" ref="H15"/>
    <hyperlink r:id="rId44" ref="Z15"/>
    <hyperlink r:id="rId45" ref="G16"/>
    <hyperlink r:id="rId46" ref="H16"/>
    <hyperlink r:id="rId47" ref="Z16"/>
    <hyperlink r:id="rId48" ref="G17"/>
    <hyperlink r:id="rId49" ref="H17"/>
    <hyperlink r:id="rId50" ref="Z17"/>
    <hyperlink r:id="rId51" ref="G18"/>
    <hyperlink r:id="rId52" ref="H18"/>
    <hyperlink r:id="rId53" ref="Z18"/>
    <hyperlink r:id="rId54" ref="H19"/>
    <hyperlink r:id="rId55" ref="Z19"/>
    <hyperlink r:id="rId56" ref="G20"/>
    <hyperlink r:id="rId57" ref="H20"/>
    <hyperlink r:id="rId58" ref="Z20"/>
    <hyperlink r:id="rId59" ref="G21"/>
    <hyperlink r:id="rId60" ref="H21"/>
    <hyperlink r:id="rId61" ref="Z21"/>
    <hyperlink r:id="rId62" ref="G22"/>
    <hyperlink r:id="rId63" ref="H22"/>
    <hyperlink r:id="rId64" ref="Z22"/>
    <hyperlink r:id="rId65" ref="G23"/>
    <hyperlink r:id="rId66" ref="H23"/>
    <hyperlink r:id="rId67" ref="Z23"/>
    <hyperlink r:id="rId68" ref="G24"/>
    <hyperlink r:id="rId69" ref="H24"/>
    <hyperlink r:id="rId70" ref="Z24"/>
    <hyperlink r:id="rId71" ref="G25"/>
    <hyperlink r:id="rId72" ref="H25"/>
    <hyperlink r:id="rId73" ref="Z25"/>
    <hyperlink r:id="rId74" ref="G26"/>
    <hyperlink r:id="rId75" ref="H26"/>
    <hyperlink r:id="rId76" ref="Z26"/>
    <hyperlink r:id="rId77" ref="G27"/>
    <hyperlink r:id="rId78" ref="H27"/>
    <hyperlink r:id="rId79" ref="Z27"/>
    <hyperlink r:id="rId80" ref="G28"/>
    <hyperlink r:id="rId81" ref="H28"/>
    <hyperlink r:id="rId82" ref="Z28"/>
    <hyperlink r:id="rId83" ref="H29"/>
    <hyperlink r:id="rId84" ref="Z29"/>
    <hyperlink r:id="rId85" ref="G30"/>
    <hyperlink r:id="rId86" ref="H30"/>
    <hyperlink r:id="rId87" ref="Z30"/>
    <hyperlink r:id="rId88" ref="G31"/>
    <hyperlink r:id="rId89" ref="H31"/>
    <hyperlink r:id="rId90" ref="Z31"/>
    <hyperlink r:id="rId91" ref="G32"/>
    <hyperlink r:id="rId92" ref="H32"/>
    <hyperlink r:id="rId93" ref="Z32"/>
    <hyperlink r:id="rId94" ref="G33"/>
    <hyperlink r:id="rId95" ref="H33"/>
    <hyperlink r:id="rId96" ref="Z33"/>
    <hyperlink r:id="rId97" ref="G34"/>
    <hyperlink r:id="rId98" ref="H34"/>
    <hyperlink r:id="rId99" ref="Z34"/>
    <hyperlink r:id="rId100" ref="G35"/>
    <hyperlink r:id="rId101" ref="H35"/>
    <hyperlink r:id="rId102" ref="Z35"/>
    <hyperlink r:id="rId103" ref="G36"/>
    <hyperlink r:id="rId104" ref="H36"/>
    <hyperlink r:id="rId105" ref="Z36"/>
    <hyperlink r:id="rId106" ref="H37"/>
    <hyperlink r:id="rId107" ref="Z37"/>
    <hyperlink r:id="rId108" ref="G38"/>
    <hyperlink r:id="rId109" ref="H38"/>
    <hyperlink r:id="rId110" ref="Z38"/>
    <hyperlink r:id="rId111" ref="G39"/>
    <hyperlink r:id="rId112" ref="H39"/>
    <hyperlink r:id="rId113" ref="Z39"/>
  </hyperlinks>
  <drawing r:id="rId114"/>
  <legacyDrawing r:id="rId115"/>
  <tableParts count="1">
    <tablePart r:id="rId1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4.13"/>
    <col customWidth="1" min="2" max="2" width="7.13"/>
    <col customWidth="1" min="3" max="3" width="14.63"/>
    <col customWidth="1" min="4" max="4" width="17.0"/>
    <col customWidth="1" min="5" max="5" width="18.5"/>
    <col customWidth="1" min="6" max="6" width="6.75"/>
    <col customWidth="1" min="7" max="7" width="27.0"/>
    <col customWidth="1" min="8" max="8" width="17.75"/>
    <col customWidth="1" min="9" max="9" width="20.13"/>
    <col customWidth="1" min="10" max="10" width="21.75"/>
    <col customWidth="1" min="11" max="11" width="16.25"/>
    <col customWidth="1" min="12" max="12" width="20.13"/>
    <col customWidth="1" min="13" max="13" width="21.75"/>
    <col customWidth="1" min="14" max="14" width="16.63"/>
    <col customWidth="1" min="15" max="15" width="20.13"/>
    <col customWidth="1" min="16" max="17" width="21.75"/>
    <col customWidth="1" min="18" max="18" width="20.13"/>
    <col customWidth="1" min="19" max="19" width="21.75"/>
    <col customWidth="1" min="20" max="20" width="16.25"/>
    <col customWidth="1" min="21" max="21" width="20.13"/>
    <col customWidth="1" min="22" max="22" width="21.75"/>
    <col customWidth="1" min="23" max="23" width="16.25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30">
        <v>5.0</v>
      </c>
      <c r="B2" s="53">
        <v>1.0</v>
      </c>
      <c r="C2" s="30" t="s">
        <v>385</v>
      </c>
      <c r="D2" s="22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20" si="1">IF(OR(D2="ROTEIRO DE VÍDEO", D2="VÍDEO"), (IF(J2="Concluído", 1, 0) + IF(Y2="Concluído", 1, 0) + IF(AC2="Concluído", 1, 0)) / 3,
IF(OR(D2="SLIDE", D2="FÓRUM", D2="PLANO DE AULA", D2="QUIZ", D2="TAREFA", D2="EBOOK", D2="PDF(AVULSO)"), (IF(J2="Concluído", 1, 0) + IF(Y2="Concluído", 1, 0) + IF(AC2="Concluído", 1, 0)) / 3))</f>
        <v>0.3333333333</v>
      </c>
      <c r="G2" s="9" t="s">
        <v>386</v>
      </c>
      <c r="H2" s="36" t="s">
        <v>156</v>
      </c>
      <c r="I2" s="10"/>
      <c r="J2" s="11" t="s">
        <v>33</v>
      </c>
      <c r="K2" s="12" t="s">
        <v>34</v>
      </c>
      <c r="L2" s="10"/>
      <c r="M2" s="11" t="s">
        <v>35</v>
      </c>
      <c r="N2" s="12"/>
      <c r="O2" s="10"/>
      <c r="P2" s="31"/>
      <c r="Q2" s="14"/>
      <c r="R2" s="10"/>
      <c r="S2" s="31"/>
      <c r="T2" s="12"/>
      <c r="U2" s="10"/>
      <c r="V2" s="31"/>
      <c r="W2" s="12"/>
      <c r="X2" s="10"/>
      <c r="Y2" s="31"/>
      <c r="Z2" s="37"/>
      <c r="AA2" s="12" t="s">
        <v>387</v>
      </c>
      <c r="AB2" s="10"/>
      <c r="AC2" s="27"/>
    </row>
    <row r="3" ht="22.5" customHeight="1">
      <c r="A3" s="30">
        <v>5.0</v>
      </c>
      <c r="B3" s="54">
        <v>1.0</v>
      </c>
      <c r="C3" s="33" t="s">
        <v>388</v>
      </c>
      <c r="D3" s="21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0.3333333333</v>
      </c>
      <c r="G3" s="18" t="s">
        <v>389</v>
      </c>
      <c r="H3" s="36" t="s">
        <v>156</v>
      </c>
      <c r="I3" s="10"/>
      <c r="J3" s="11" t="s">
        <v>33</v>
      </c>
      <c r="K3" s="12" t="s">
        <v>34</v>
      </c>
      <c r="L3" s="10"/>
      <c r="M3" s="11" t="s">
        <v>35</v>
      </c>
      <c r="N3" s="12"/>
      <c r="O3" s="10"/>
      <c r="P3" s="27"/>
      <c r="Q3" s="14"/>
      <c r="R3" s="10"/>
      <c r="S3" s="27"/>
      <c r="T3" s="12"/>
      <c r="U3" s="10"/>
      <c r="V3" s="27"/>
      <c r="W3" s="12"/>
      <c r="X3" s="10"/>
      <c r="Y3" s="27"/>
      <c r="Z3" s="37"/>
      <c r="AA3" s="12" t="s">
        <v>387</v>
      </c>
      <c r="AB3" s="10"/>
      <c r="AC3" s="27"/>
    </row>
    <row r="4" ht="22.5" customHeight="1">
      <c r="A4" s="30">
        <v>5.0</v>
      </c>
      <c r="B4" s="53">
        <v>1.0</v>
      </c>
      <c r="C4" s="30" t="s">
        <v>390</v>
      </c>
      <c r="D4" s="22" t="s">
        <v>30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0.3333333333</v>
      </c>
      <c r="G4" s="20" t="s">
        <v>391</v>
      </c>
      <c r="H4" s="36" t="s">
        <v>156</v>
      </c>
      <c r="I4" s="10"/>
      <c r="J4" s="11" t="s">
        <v>33</v>
      </c>
      <c r="K4" s="12" t="s">
        <v>34</v>
      </c>
      <c r="L4" s="10"/>
      <c r="M4" s="11" t="s">
        <v>35</v>
      </c>
      <c r="N4" s="12"/>
      <c r="O4" s="10"/>
      <c r="P4" s="27"/>
      <c r="Q4" s="14"/>
      <c r="R4" s="10"/>
      <c r="S4" s="27"/>
      <c r="T4" s="12"/>
      <c r="U4" s="10"/>
      <c r="V4" s="27"/>
      <c r="W4" s="12"/>
      <c r="X4" s="10"/>
      <c r="Y4" s="27"/>
      <c r="Z4" s="37"/>
      <c r="AA4" s="12" t="s">
        <v>387</v>
      </c>
      <c r="AB4" s="10"/>
      <c r="AC4" s="27"/>
    </row>
    <row r="5" ht="22.5" customHeight="1">
      <c r="A5" s="30">
        <v>5.0</v>
      </c>
      <c r="B5" s="54">
        <v>1.0</v>
      </c>
      <c r="C5" s="33" t="s">
        <v>392</v>
      </c>
      <c r="D5" s="21" t="s">
        <v>45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1</v>
      </c>
      <c r="G5" s="18" t="s">
        <v>393</v>
      </c>
      <c r="H5" s="36" t="s">
        <v>156</v>
      </c>
      <c r="I5" s="10"/>
      <c r="J5" s="11" t="s">
        <v>33</v>
      </c>
      <c r="K5" s="12" t="s">
        <v>34</v>
      </c>
      <c r="L5" s="10"/>
      <c r="M5" s="11" t="s">
        <v>35</v>
      </c>
      <c r="N5" s="12"/>
      <c r="O5" s="10"/>
      <c r="P5" s="27"/>
      <c r="Q5" s="14"/>
      <c r="R5" s="10"/>
      <c r="S5" s="27"/>
      <c r="T5" s="12"/>
      <c r="U5" s="10"/>
      <c r="V5" s="27"/>
      <c r="W5" s="12"/>
      <c r="X5" s="10"/>
      <c r="Y5" s="11" t="s">
        <v>33</v>
      </c>
      <c r="Z5" s="18" t="s">
        <v>394</v>
      </c>
      <c r="AA5" s="12" t="s">
        <v>387</v>
      </c>
      <c r="AB5" s="10"/>
      <c r="AC5" s="11" t="s">
        <v>33</v>
      </c>
    </row>
    <row r="6" ht="22.5" customHeight="1">
      <c r="A6" s="30">
        <v>5.0</v>
      </c>
      <c r="B6" s="53">
        <v>1.0</v>
      </c>
      <c r="C6" s="30" t="s">
        <v>395</v>
      </c>
      <c r="D6" s="22" t="s">
        <v>45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1</v>
      </c>
      <c r="G6" s="18" t="s">
        <v>396</v>
      </c>
      <c r="H6" s="36" t="s">
        <v>156</v>
      </c>
      <c r="I6" s="10"/>
      <c r="J6" s="11" t="s">
        <v>33</v>
      </c>
      <c r="K6" s="12" t="s">
        <v>34</v>
      </c>
      <c r="L6" s="10"/>
      <c r="M6" s="11" t="s">
        <v>35</v>
      </c>
      <c r="N6" s="12"/>
      <c r="O6" s="10"/>
      <c r="P6" s="27"/>
      <c r="Q6" s="14"/>
      <c r="R6" s="10"/>
      <c r="S6" s="27"/>
      <c r="T6" s="12"/>
      <c r="U6" s="10"/>
      <c r="V6" s="27"/>
      <c r="W6" s="12"/>
      <c r="X6" s="10"/>
      <c r="Y6" s="11" t="s">
        <v>33</v>
      </c>
      <c r="Z6" s="23" t="s">
        <v>397</v>
      </c>
      <c r="AA6" s="12" t="s">
        <v>387</v>
      </c>
      <c r="AB6" s="10"/>
      <c r="AC6" s="11" t="s">
        <v>33</v>
      </c>
    </row>
    <row r="7" ht="22.5" customHeight="1">
      <c r="A7" s="30">
        <v>5.0</v>
      </c>
      <c r="B7" s="54">
        <v>1.0</v>
      </c>
      <c r="C7" s="33" t="s">
        <v>398</v>
      </c>
      <c r="D7" s="21" t="s">
        <v>45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0.6666666667</v>
      </c>
      <c r="G7" s="18" t="s">
        <v>399</v>
      </c>
      <c r="H7" s="36" t="s">
        <v>156</v>
      </c>
      <c r="I7" s="10"/>
      <c r="J7" s="11" t="s">
        <v>33</v>
      </c>
      <c r="K7" s="12" t="s">
        <v>34</v>
      </c>
      <c r="L7" s="10"/>
      <c r="M7" s="11" t="s">
        <v>35</v>
      </c>
      <c r="N7" s="12"/>
      <c r="O7" s="10"/>
      <c r="P7" s="27"/>
      <c r="Q7" s="14"/>
      <c r="R7" s="10"/>
      <c r="S7" s="27"/>
      <c r="T7" s="12"/>
      <c r="U7" s="10"/>
      <c r="V7" s="27"/>
      <c r="W7" s="12"/>
      <c r="X7" s="10"/>
      <c r="Y7" s="11" t="s">
        <v>33</v>
      </c>
      <c r="Z7" s="18" t="s">
        <v>400</v>
      </c>
      <c r="AA7" s="12" t="s">
        <v>387</v>
      </c>
      <c r="AB7" s="10"/>
      <c r="AC7" s="11" t="s">
        <v>401</v>
      </c>
    </row>
    <row r="8" ht="22.5" customHeight="1">
      <c r="A8" s="30">
        <v>5.0</v>
      </c>
      <c r="B8" s="53">
        <v>1.0</v>
      </c>
      <c r="C8" s="30" t="s">
        <v>402</v>
      </c>
      <c r="D8" s="22" t="s">
        <v>56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0.3333333333</v>
      </c>
      <c r="G8" s="18" t="s">
        <v>403</v>
      </c>
      <c r="H8" s="36" t="s">
        <v>156</v>
      </c>
      <c r="I8" s="10"/>
      <c r="J8" s="11" t="s">
        <v>33</v>
      </c>
      <c r="K8" s="12" t="s">
        <v>34</v>
      </c>
      <c r="L8" s="10"/>
      <c r="M8" s="11" t="s">
        <v>35</v>
      </c>
      <c r="N8" s="12"/>
      <c r="O8" s="10"/>
      <c r="P8" s="27"/>
      <c r="Q8" s="14"/>
      <c r="R8" s="10"/>
      <c r="S8" s="27"/>
      <c r="T8" s="12"/>
      <c r="U8" s="10"/>
      <c r="V8" s="27"/>
      <c r="W8" s="12"/>
      <c r="X8" s="10"/>
      <c r="Y8" s="11"/>
      <c r="Z8" s="56"/>
      <c r="AA8" s="12" t="s">
        <v>387</v>
      </c>
      <c r="AB8" s="10"/>
      <c r="AC8" s="11"/>
    </row>
    <row r="9" ht="22.5" customHeight="1">
      <c r="A9" s="30">
        <v>5.0</v>
      </c>
      <c r="B9" s="54">
        <v>1.0</v>
      </c>
      <c r="C9" s="33" t="s">
        <v>404</v>
      </c>
      <c r="D9" s="21" t="s">
        <v>60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0.3333333333</v>
      </c>
      <c r="G9" s="24" t="s">
        <v>405</v>
      </c>
      <c r="H9" s="36" t="s">
        <v>156</v>
      </c>
      <c r="I9" s="10"/>
      <c r="J9" s="11" t="s">
        <v>33</v>
      </c>
      <c r="K9" s="12" t="s">
        <v>34</v>
      </c>
      <c r="L9" s="10"/>
      <c r="M9" s="11" t="s">
        <v>35</v>
      </c>
      <c r="N9" s="12"/>
      <c r="O9" s="10"/>
      <c r="P9" s="27"/>
      <c r="Q9" s="14"/>
      <c r="R9" s="10"/>
      <c r="S9" s="27"/>
      <c r="T9" s="12"/>
      <c r="U9" s="10"/>
      <c r="V9" s="27"/>
      <c r="W9" s="12"/>
      <c r="X9" s="10"/>
      <c r="Y9" s="11"/>
      <c r="Z9" s="55"/>
      <c r="AA9" s="12" t="s">
        <v>387</v>
      </c>
      <c r="AB9" s="10"/>
      <c r="AC9" s="11"/>
    </row>
    <row r="10" ht="22.5" customHeight="1">
      <c r="A10" s="30">
        <v>5.0</v>
      </c>
      <c r="B10" s="53">
        <v>2.0</v>
      </c>
      <c r="C10" s="30" t="s">
        <v>406</v>
      </c>
      <c r="D10" s="22" t="s">
        <v>30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0.3333333333</v>
      </c>
      <c r="G10" s="20" t="s">
        <v>407</v>
      </c>
      <c r="H10" s="36" t="s">
        <v>156</v>
      </c>
      <c r="I10" s="10"/>
      <c r="J10" s="11" t="s">
        <v>33</v>
      </c>
      <c r="K10" s="12" t="s">
        <v>34</v>
      </c>
      <c r="L10" s="10"/>
      <c r="M10" s="11" t="s">
        <v>35</v>
      </c>
      <c r="N10" s="12"/>
      <c r="O10" s="10"/>
      <c r="P10" s="27"/>
      <c r="Q10" s="14"/>
      <c r="R10" s="10"/>
      <c r="S10" s="27"/>
      <c r="T10" s="12"/>
      <c r="U10" s="10"/>
      <c r="V10" s="27"/>
      <c r="W10" s="12"/>
      <c r="X10" s="10"/>
      <c r="Y10" s="27"/>
      <c r="Z10" s="37"/>
      <c r="AA10" s="12" t="s">
        <v>387</v>
      </c>
      <c r="AB10" s="10"/>
      <c r="AC10" s="27"/>
    </row>
    <row r="11" ht="22.5" customHeight="1">
      <c r="A11" s="30">
        <v>5.0</v>
      </c>
      <c r="B11" s="54">
        <v>2.0</v>
      </c>
      <c r="C11" s="33" t="s">
        <v>408</v>
      </c>
      <c r="D11" s="21" t="s">
        <v>30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0.3333333333</v>
      </c>
      <c r="G11" s="23" t="s">
        <v>409</v>
      </c>
      <c r="H11" s="36" t="s">
        <v>156</v>
      </c>
      <c r="I11" s="10"/>
      <c r="J11" s="11" t="s">
        <v>33</v>
      </c>
      <c r="K11" s="12" t="s">
        <v>34</v>
      </c>
      <c r="L11" s="10"/>
      <c r="M11" s="11" t="s">
        <v>35</v>
      </c>
      <c r="N11" s="12"/>
      <c r="O11" s="10"/>
      <c r="P11" s="27"/>
      <c r="Q11" s="14"/>
      <c r="R11" s="10"/>
      <c r="S11" s="27"/>
      <c r="T11" s="12"/>
      <c r="U11" s="10"/>
      <c r="V11" s="27"/>
      <c r="W11" s="12"/>
      <c r="X11" s="10"/>
      <c r="Y11" s="27"/>
      <c r="Z11" s="37"/>
      <c r="AA11" s="12" t="s">
        <v>387</v>
      </c>
      <c r="AB11" s="10"/>
      <c r="AC11" s="27"/>
    </row>
    <row r="12" ht="22.5" customHeight="1">
      <c r="A12" s="30">
        <v>5.0</v>
      </c>
      <c r="B12" s="53">
        <v>2.0</v>
      </c>
      <c r="C12" s="30" t="s">
        <v>410</v>
      </c>
      <c r="D12" s="22" t="s">
        <v>30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0.3333333333</v>
      </c>
      <c r="G12" s="18" t="s">
        <v>411</v>
      </c>
      <c r="H12" s="36" t="s">
        <v>156</v>
      </c>
      <c r="I12" s="10"/>
      <c r="J12" s="11" t="s">
        <v>33</v>
      </c>
      <c r="K12" s="12" t="s">
        <v>34</v>
      </c>
      <c r="L12" s="10"/>
      <c r="M12" s="11" t="s">
        <v>35</v>
      </c>
      <c r="N12" s="12"/>
      <c r="O12" s="10"/>
      <c r="P12" s="27"/>
      <c r="Q12" s="14"/>
      <c r="R12" s="10"/>
      <c r="S12" s="27"/>
      <c r="T12" s="12"/>
      <c r="U12" s="10"/>
      <c r="V12" s="27"/>
      <c r="W12" s="12"/>
      <c r="X12" s="10"/>
      <c r="Y12" s="27"/>
      <c r="Z12" s="37"/>
      <c r="AA12" s="12" t="s">
        <v>387</v>
      </c>
      <c r="AB12" s="10"/>
      <c r="AC12" s="27"/>
    </row>
    <row r="13" ht="22.5" customHeight="1">
      <c r="A13" s="30">
        <v>5.0</v>
      </c>
      <c r="B13" s="54">
        <v>2.0</v>
      </c>
      <c r="C13" s="33" t="s">
        <v>412</v>
      </c>
      <c r="D13" s="21" t="s">
        <v>45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0.6666666667</v>
      </c>
      <c r="G13" s="18" t="s">
        <v>413</v>
      </c>
      <c r="H13" s="36" t="s">
        <v>156</v>
      </c>
      <c r="I13" s="10"/>
      <c r="J13" s="11" t="s">
        <v>33</v>
      </c>
      <c r="K13" s="12" t="s">
        <v>34</v>
      </c>
      <c r="L13" s="10"/>
      <c r="M13" s="11" t="s">
        <v>35</v>
      </c>
      <c r="N13" s="12"/>
      <c r="O13" s="10"/>
      <c r="P13" s="27"/>
      <c r="Q13" s="14"/>
      <c r="R13" s="10"/>
      <c r="S13" s="27"/>
      <c r="T13" s="12"/>
      <c r="U13" s="10"/>
      <c r="V13" s="27"/>
      <c r="W13" s="12"/>
      <c r="X13" s="10"/>
      <c r="Y13" s="11" t="s">
        <v>33</v>
      </c>
      <c r="Z13" s="18" t="s">
        <v>414</v>
      </c>
      <c r="AA13" s="12" t="s">
        <v>387</v>
      </c>
      <c r="AB13" s="10"/>
      <c r="AC13" s="11" t="s">
        <v>401</v>
      </c>
    </row>
    <row r="14" ht="22.5" customHeight="1">
      <c r="A14" s="30">
        <v>5.0</v>
      </c>
      <c r="B14" s="53">
        <v>2.0</v>
      </c>
      <c r="C14" s="30" t="s">
        <v>415</v>
      </c>
      <c r="D14" s="22" t="s">
        <v>45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0.6666666667</v>
      </c>
      <c r="G14" s="18" t="s">
        <v>416</v>
      </c>
      <c r="H14" s="36" t="s">
        <v>156</v>
      </c>
      <c r="I14" s="10"/>
      <c r="J14" s="11" t="s">
        <v>33</v>
      </c>
      <c r="K14" s="12" t="s">
        <v>34</v>
      </c>
      <c r="L14" s="10"/>
      <c r="M14" s="11" t="s">
        <v>35</v>
      </c>
      <c r="N14" s="12"/>
      <c r="O14" s="10"/>
      <c r="P14" s="27"/>
      <c r="Q14" s="14"/>
      <c r="R14" s="10"/>
      <c r="S14" s="27"/>
      <c r="T14" s="12"/>
      <c r="U14" s="10"/>
      <c r="V14" s="27"/>
      <c r="W14" s="12"/>
      <c r="X14" s="10"/>
      <c r="Y14" s="11" t="s">
        <v>33</v>
      </c>
      <c r="Z14" s="18" t="s">
        <v>417</v>
      </c>
      <c r="AA14" s="12" t="s">
        <v>387</v>
      </c>
      <c r="AB14" s="10"/>
      <c r="AC14" s="11" t="s">
        <v>401</v>
      </c>
    </row>
    <row r="15" ht="22.5" customHeight="1">
      <c r="A15" s="30">
        <v>5.0</v>
      </c>
      <c r="B15" s="54">
        <v>2.0</v>
      </c>
      <c r="C15" s="33" t="s">
        <v>418</v>
      </c>
      <c r="D15" s="21" t="s">
        <v>45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0.6666666667</v>
      </c>
      <c r="G15" s="23" t="s">
        <v>419</v>
      </c>
      <c r="H15" s="36" t="s">
        <v>156</v>
      </c>
      <c r="I15" s="10"/>
      <c r="J15" s="11" t="s">
        <v>33</v>
      </c>
      <c r="K15" s="12" t="s">
        <v>34</v>
      </c>
      <c r="L15" s="10"/>
      <c r="M15" s="11" t="s">
        <v>35</v>
      </c>
      <c r="N15" s="12"/>
      <c r="O15" s="10"/>
      <c r="P15" s="27"/>
      <c r="Q15" s="14"/>
      <c r="R15" s="10"/>
      <c r="S15" s="27"/>
      <c r="T15" s="12"/>
      <c r="U15" s="10"/>
      <c r="V15" s="27"/>
      <c r="W15" s="12"/>
      <c r="X15" s="10"/>
      <c r="Y15" s="11" t="s">
        <v>33</v>
      </c>
      <c r="Z15" s="18" t="s">
        <v>420</v>
      </c>
      <c r="AA15" s="12" t="s">
        <v>387</v>
      </c>
      <c r="AB15" s="10"/>
      <c r="AC15" s="11" t="s">
        <v>401</v>
      </c>
    </row>
    <row r="16" ht="22.5" customHeight="1">
      <c r="A16" s="30">
        <v>5.0</v>
      </c>
      <c r="B16" s="53">
        <v>2.0</v>
      </c>
      <c r="C16" s="30" t="s">
        <v>421</v>
      </c>
      <c r="D16" s="22" t="s">
        <v>56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0</v>
      </c>
      <c r="G16" s="18" t="s">
        <v>422</v>
      </c>
      <c r="H16" s="36" t="s">
        <v>156</v>
      </c>
      <c r="I16" s="10"/>
      <c r="J16" s="11" t="s">
        <v>97</v>
      </c>
      <c r="K16" s="12" t="s">
        <v>34</v>
      </c>
      <c r="L16" s="10"/>
      <c r="M16" s="11"/>
      <c r="N16" s="12"/>
      <c r="O16" s="10"/>
      <c r="P16" s="27"/>
      <c r="Q16" s="14"/>
      <c r="R16" s="10"/>
      <c r="S16" s="27"/>
      <c r="T16" s="12"/>
      <c r="U16" s="10"/>
      <c r="V16" s="27"/>
      <c r="W16" s="12"/>
      <c r="X16" s="10"/>
      <c r="Y16" s="11"/>
      <c r="Z16" s="37"/>
      <c r="AA16" s="12" t="s">
        <v>387</v>
      </c>
      <c r="AB16" s="10"/>
      <c r="AC16" s="11"/>
    </row>
    <row r="17" ht="22.5" customHeight="1">
      <c r="A17" s="30">
        <v>5.0</v>
      </c>
      <c r="B17" s="54">
        <v>2.0</v>
      </c>
      <c r="C17" s="33" t="s">
        <v>423</v>
      </c>
      <c r="D17" s="21" t="s">
        <v>60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0</v>
      </c>
      <c r="G17" s="18" t="s">
        <v>424</v>
      </c>
      <c r="H17" s="36" t="s">
        <v>156</v>
      </c>
      <c r="I17" s="10"/>
      <c r="J17" s="11" t="s">
        <v>97</v>
      </c>
      <c r="K17" s="12" t="s">
        <v>34</v>
      </c>
      <c r="L17" s="10"/>
      <c r="M17" s="11"/>
      <c r="N17" s="12"/>
      <c r="O17" s="10"/>
      <c r="P17" s="27"/>
      <c r="Q17" s="14"/>
      <c r="R17" s="10"/>
      <c r="S17" s="27"/>
      <c r="T17" s="12"/>
      <c r="U17" s="10"/>
      <c r="V17" s="27"/>
      <c r="W17" s="12"/>
      <c r="X17" s="10"/>
      <c r="Y17" s="27"/>
      <c r="Z17" s="37"/>
      <c r="AA17" s="12" t="s">
        <v>387</v>
      </c>
      <c r="AB17" s="10"/>
      <c r="AC17" s="27"/>
    </row>
    <row r="18" ht="22.5" customHeight="1">
      <c r="A18" s="30">
        <v>5.0</v>
      </c>
      <c r="B18" s="53">
        <v>2.0</v>
      </c>
      <c r="C18" s="30" t="s">
        <v>425</v>
      </c>
      <c r="D18" s="22" t="s">
        <v>149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0.3333333333</v>
      </c>
      <c r="G18" s="37"/>
      <c r="H18" s="36" t="s">
        <v>156</v>
      </c>
      <c r="I18" s="10"/>
      <c r="J18" s="11" t="s">
        <v>33</v>
      </c>
      <c r="K18" s="12" t="s">
        <v>34</v>
      </c>
      <c r="L18" s="10"/>
      <c r="M18" s="11" t="s">
        <v>35</v>
      </c>
      <c r="N18" s="12"/>
      <c r="O18" s="10"/>
      <c r="P18" s="27"/>
      <c r="Q18" s="14"/>
      <c r="R18" s="10"/>
      <c r="S18" s="27"/>
      <c r="T18" s="12"/>
      <c r="U18" s="10"/>
      <c r="V18" s="27"/>
      <c r="W18" s="12"/>
      <c r="X18" s="10"/>
      <c r="Y18" s="27"/>
      <c r="Z18" s="37"/>
      <c r="AA18" s="12" t="s">
        <v>387</v>
      </c>
      <c r="AB18" s="10"/>
      <c r="AC18" s="27"/>
    </row>
    <row r="19" ht="22.5" customHeight="1">
      <c r="A19" s="30">
        <v>5.0</v>
      </c>
      <c r="B19" s="54">
        <v>2.0</v>
      </c>
      <c r="C19" s="33" t="s">
        <v>426</v>
      </c>
      <c r="D19" s="21" t="s">
        <v>95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0.3333333333</v>
      </c>
      <c r="G19" s="18" t="s">
        <v>427</v>
      </c>
      <c r="H19" s="36" t="s">
        <v>156</v>
      </c>
      <c r="I19" s="10"/>
      <c r="J19" s="11" t="s">
        <v>33</v>
      </c>
      <c r="K19" s="12" t="s">
        <v>34</v>
      </c>
      <c r="L19" s="10"/>
      <c r="M19" s="11" t="s">
        <v>35</v>
      </c>
      <c r="N19" s="12"/>
      <c r="O19" s="10"/>
      <c r="P19" s="27"/>
      <c r="Q19" s="14"/>
      <c r="R19" s="10"/>
      <c r="S19" s="27"/>
      <c r="T19" s="12"/>
      <c r="U19" s="10"/>
      <c r="V19" s="27"/>
      <c r="W19" s="12"/>
      <c r="X19" s="10"/>
      <c r="Y19" s="27"/>
      <c r="Z19" s="37"/>
      <c r="AA19" s="12" t="s">
        <v>387</v>
      </c>
      <c r="AB19" s="10"/>
      <c r="AC19" s="27"/>
    </row>
    <row r="20" ht="22.5" customHeight="1">
      <c r="A20" s="30">
        <v>5.0</v>
      </c>
      <c r="B20" s="53">
        <v>2.0</v>
      </c>
      <c r="C20" s="30" t="s">
        <v>428</v>
      </c>
      <c r="D20" s="22" t="s">
        <v>64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0.6666666667</v>
      </c>
      <c r="G20" s="18" t="s">
        <v>429</v>
      </c>
      <c r="H20" s="36" t="s">
        <v>156</v>
      </c>
      <c r="I20" s="10"/>
      <c r="J20" s="11" t="s">
        <v>33</v>
      </c>
      <c r="K20" s="12" t="s">
        <v>34</v>
      </c>
      <c r="L20" s="10"/>
      <c r="M20" s="11" t="s">
        <v>35</v>
      </c>
      <c r="N20" s="12"/>
      <c r="O20" s="10"/>
      <c r="P20" s="27"/>
      <c r="Q20" s="14"/>
      <c r="R20" s="10"/>
      <c r="S20" s="27"/>
      <c r="T20" s="12"/>
      <c r="U20" s="10"/>
      <c r="V20" s="27"/>
      <c r="W20" s="12"/>
      <c r="X20" s="10"/>
      <c r="Y20" s="11" t="s">
        <v>33</v>
      </c>
      <c r="Z20" s="18" t="s">
        <v>430</v>
      </c>
      <c r="AA20" s="12" t="s">
        <v>387</v>
      </c>
      <c r="AB20" s="10"/>
      <c r="AC20" s="11" t="s">
        <v>35</v>
      </c>
    </row>
  </sheetData>
  <dataValidations>
    <dataValidation type="list" allowBlank="1" sqref="P2:P20 S2:S20 Y2:Y20">
      <formula1>"Concluído,Em Andamento,Pendente,Precisa de Alteração"</formula1>
    </dataValidation>
    <dataValidation type="list" allowBlank="1" sqref="J2:J20">
      <formula1>"Concluído,Em Andamento,Pendente,Precisa de Alteração,Não há"</formula1>
    </dataValidation>
    <dataValidation type="custom" allowBlank="1" showDropDown="1" sqref="I2:I20 L2:L20 O2:O20 R2:R20 U2:U20 X2:X20 AB2:AB20">
      <formula1>OR(NOT(ISERROR(DATEVALUE(I2))), AND(ISNUMBER(I2), LEFT(CELL("format", I2))="D"))</formula1>
    </dataValidation>
    <dataValidation type="list" allowBlank="1" sqref="V2:V20">
      <formula1>"Concluído,Em Andamento,Pendente,Precisa de Alteração,Não Há"</formula1>
    </dataValidation>
    <dataValidation type="list" allowBlank="1" sqref="AC2:AC20">
      <formula1>"Concluído,Em Andamento,Pendente,Aguardando Correção"</formula1>
    </dataValidation>
    <dataValidation type="custom" allowBlank="1" showDropDown="1" sqref="F2:F20">
      <formula1>AND(ISNUMBER(F2),(NOT(OR(NOT(ISERROR(DATEVALUE(F2))), AND(ISNUMBER(F2), LEFT(CELL("format", F2))="D")))))</formula1>
    </dataValidation>
    <dataValidation type="list" allowBlank="1" sqref="M2:M20">
      <formula1>"Concluído,Em Andamento,Pendente,Aguardando Correção,Não há"</formula1>
    </dataValidation>
  </dataValidations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Z5"/>
    <hyperlink r:id="rId10" ref="G6"/>
    <hyperlink r:id="rId11" ref="H6"/>
    <hyperlink r:id="rId12" ref="Z6"/>
    <hyperlink r:id="rId13" ref="G7"/>
    <hyperlink r:id="rId14" ref="H7"/>
    <hyperlink r:id="rId15" ref="Z7"/>
    <hyperlink r:id="rId16" ref="G8"/>
    <hyperlink r:id="rId17" ref="H8"/>
    <hyperlink r:id="rId18" ref="G9"/>
    <hyperlink r:id="rId19" ref="H9"/>
    <hyperlink r:id="rId20" ref="G10"/>
    <hyperlink r:id="rId21" ref="H10"/>
    <hyperlink r:id="rId22" ref="G11"/>
    <hyperlink r:id="rId23" ref="H11"/>
    <hyperlink r:id="rId24" ref="G12"/>
    <hyperlink r:id="rId25" ref="H12"/>
    <hyperlink r:id="rId26" ref="G13"/>
    <hyperlink r:id="rId27" ref="H13"/>
    <hyperlink r:id="rId28" ref="Z13"/>
    <hyperlink r:id="rId29" ref="G14"/>
    <hyperlink r:id="rId30" ref="H14"/>
    <hyperlink r:id="rId31" ref="Z14"/>
    <hyperlink r:id="rId32" ref="G15"/>
    <hyperlink r:id="rId33" ref="H15"/>
    <hyperlink r:id="rId34" ref="Z15"/>
    <hyperlink r:id="rId35" ref="G16"/>
    <hyperlink r:id="rId36" ref="H16"/>
    <hyperlink r:id="rId37" ref="G17"/>
    <hyperlink r:id="rId38" ref="H17"/>
    <hyperlink r:id="rId39" ref="H18"/>
    <hyperlink r:id="rId40" ref="G19"/>
    <hyperlink r:id="rId41" ref="H19"/>
    <hyperlink r:id="rId42" ref="G20"/>
    <hyperlink r:id="rId43" ref="H20"/>
    <hyperlink r:id="rId44" ref="Z20"/>
  </hyperlinks>
  <drawing r:id="rId45"/>
  <tableParts count="1">
    <tablePart r:id="rId4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3.0"/>
    <col customWidth="1" min="2" max="2" width="10.63"/>
    <col customWidth="1" min="3" max="3" width="19.13"/>
    <col customWidth="1" min="4" max="4" width="20.38"/>
    <col customWidth="1" min="5" max="5" width="24.38"/>
    <col customWidth="1" min="6" max="6" width="6.75"/>
    <col customWidth="1" min="7" max="7" width="27.0"/>
    <col customWidth="1" min="8" max="8" width="17.75"/>
    <col customWidth="1" min="9" max="9" width="20.13"/>
    <col customWidth="1" min="10" max="10" width="21.75"/>
    <col customWidth="1" min="11" max="11" width="16.25"/>
    <col customWidth="1" min="12" max="12" width="20.13"/>
    <col customWidth="1" min="13" max="13" width="21.75"/>
    <col customWidth="1" min="14" max="14" width="16.63"/>
    <col customWidth="1" min="15" max="15" width="20.13"/>
    <col customWidth="1" min="16" max="17" width="21.75"/>
    <col customWidth="1" min="18" max="18" width="20.13"/>
    <col customWidth="1" min="19" max="19" width="21.75"/>
    <col customWidth="1" min="20" max="20" width="16.25"/>
    <col customWidth="1" min="21" max="21" width="20.13"/>
    <col customWidth="1" min="22" max="22" width="21.75"/>
    <col customWidth="1" min="23" max="23" width="16.25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30">
        <v>6.0</v>
      </c>
      <c r="B2" s="25">
        <v>1.0</v>
      </c>
      <c r="C2" s="30" t="s">
        <v>431</v>
      </c>
      <c r="D2" s="22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24" si="1">IF(OR(D2="ROTEIRO DE VÍDEO", D2="VÍDEO"), (IF(J2="Concluído", 1, 0) + IF(Y2="Concluído", 1, 0) + IF(AC2="Concluído", 1, 0)) / 3,
IF(OR(D2="SLIDE", D2="FÓRUM", D2="PLANO DE AULA", D2="QUIZ", D2="TAREFA", D2="EBOOK", D2="PDF(AVULSO)"), (IF(J2="Concluído", 1, 0) + IF(Y2="Concluído", 1, 0) + IF(AC2="Concluído", 1, 0)) / 3))</f>
        <v>0.3333333333</v>
      </c>
      <c r="G2" s="9" t="s">
        <v>432</v>
      </c>
      <c r="H2" s="36" t="s">
        <v>156</v>
      </c>
      <c r="I2" s="10"/>
      <c r="J2" s="11" t="s">
        <v>33</v>
      </c>
      <c r="K2" s="12" t="s">
        <v>34</v>
      </c>
      <c r="L2" s="10"/>
      <c r="M2" s="11" t="s">
        <v>35</v>
      </c>
      <c r="N2" s="12"/>
      <c r="O2" s="10"/>
      <c r="P2" s="31"/>
      <c r="Q2" s="14"/>
      <c r="R2" s="10"/>
      <c r="S2" s="31"/>
      <c r="T2" s="12"/>
      <c r="U2" s="10"/>
      <c r="V2" s="31"/>
      <c r="W2" s="12"/>
      <c r="X2" s="10"/>
      <c r="Y2" s="31"/>
      <c r="Z2" s="37"/>
      <c r="AA2" s="12" t="s">
        <v>37</v>
      </c>
      <c r="AB2" s="10"/>
      <c r="AC2" s="27"/>
    </row>
    <row r="3" ht="22.5" customHeight="1">
      <c r="A3" s="30">
        <v>6.0</v>
      </c>
      <c r="B3" s="26">
        <v>1.0</v>
      </c>
      <c r="C3" s="33" t="s">
        <v>433</v>
      </c>
      <c r="D3" s="21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0.3333333333</v>
      </c>
      <c r="G3" s="18" t="s">
        <v>434</v>
      </c>
      <c r="H3" s="36" t="s">
        <v>156</v>
      </c>
      <c r="I3" s="10"/>
      <c r="J3" s="11" t="s">
        <v>33</v>
      </c>
      <c r="K3" s="12" t="s">
        <v>34</v>
      </c>
      <c r="L3" s="10"/>
      <c r="M3" s="11" t="s">
        <v>35</v>
      </c>
      <c r="N3" s="12"/>
      <c r="O3" s="10"/>
      <c r="P3" s="27"/>
      <c r="Q3" s="14"/>
      <c r="R3" s="10"/>
      <c r="S3" s="27"/>
      <c r="T3" s="12"/>
      <c r="U3" s="10"/>
      <c r="V3" s="27"/>
      <c r="W3" s="12"/>
      <c r="X3" s="10"/>
      <c r="Y3" s="27"/>
      <c r="Z3" s="37"/>
      <c r="AA3" s="12" t="s">
        <v>37</v>
      </c>
      <c r="AB3" s="10"/>
      <c r="AC3" s="27"/>
    </row>
    <row r="4" ht="22.5" customHeight="1">
      <c r="A4" s="30">
        <v>6.0</v>
      </c>
      <c r="B4" s="25">
        <v>1.0</v>
      </c>
      <c r="C4" s="30" t="s">
        <v>435</v>
      </c>
      <c r="D4" s="22" t="s">
        <v>45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0.6666666667</v>
      </c>
      <c r="G4" s="20" t="s">
        <v>436</v>
      </c>
      <c r="H4" s="36" t="s">
        <v>156</v>
      </c>
      <c r="I4" s="10"/>
      <c r="J4" s="11" t="s">
        <v>33</v>
      </c>
      <c r="K4" s="12" t="s">
        <v>34</v>
      </c>
      <c r="L4" s="10"/>
      <c r="M4" s="11" t="s">
        <v>35</v>
      </c>
      <c r="N4" s="12"/>
      <c r="O4" s="10"/>
      <c r="P4" s="27"/>
      <c r="Q4" s="14"/>
      <c r="R4" s="10"/>
      <c r="S4" s="27"/>
      <c r="T4" s="12"/>
      <c r="U4" s="10"/>
      <c r="V4" s="27"/>
      <c r="W4" s="12"/>
      <c r="X4" s="10"/>
      <c r="Y4" s="11" t="s">
        <v>33</v>
      </c>
      <c r="Z4" s="18" t="s">
        <v>437</v>
      </c>
      <c r="AA4" s="12" t="s">
        <v>37</v>
      </c>
      <c r="AB4" s="10"/>
      <c r="AC4" s="11" t="s">
        <v>35</v>
      </c>
    </row>
    <row r="5" ht="22.5" customHeight="1">
      <c r="A5" s="30">
        <v>6.0</v>
      </c>
      <c r="B5" s="26">
        <v>1.0</v>
      </c>
      <c r="C5" s="33" t="s">
        <v>438</v>
      </c>
      <c r="D5" s="21" t="s">
        <v>45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0.6666666667</v>
      </c>
      <c r="G5" s="18" t="s">
        <v>439</v>
      </c>
      <c r="H5" s="36" t="s">
        <v>156</v>
      </c>
      <c r="I5" s="10"/>
      <c r="J5" s="11" t="s">
        <v>33</v>
      </c>
      <c r="K5" s="12" t="s">
        <v>34</v>
      </c>
      <c r="L5" s="10"/>
      <c r="M5" s="11" t="s">
        <v>35</v>
      </c>
      <c r="N5" s="12"/>
      <c r="O5" s="10"/>
      <c r="P5" s="27"/>
      <c r="Q5" s="14"/>
      <c r="R5" s="10"/>
      <c r="S5" s="27"/>
      <c r="T5" s="12"/>
      <c r="U5" s="10"/>
      <c r="V5" s="27"/>
      <c r="W5" s="12"/>
      <c r="X5" s="10"/>
      <c r="Y5" s="11" t="s">
        <v>33</v>
      </c>
      <c r="Z5" s="18" t="s">
        <v>440</v>
      </c>
      <c r="AA5" s="12" t="s">
        <v>37</v>
      </c>
      <c r="AB5" s="10"/>
      <c r="AC5" s="11" t="s">
        <v>35</v>
      </c>
    </row>
    <row r="6" ht="22.5" customHeight="1">
      <c r="A6" s="30">
        <v>6.0</v>
      </c>
      <c r="B6" s="25">
        <v>1.0</v>
      </c>
      <c r="C6" s="30" t="s">
        <v>441</v>
      </c>
      <c r="D6" s="22" t="s">
        <v>56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0.3333333333</v>
      </c>
      <c r="G6" s="18" t="s">
        <v>442</v>
      </c>
      <c r="H6" s="36" t="s">
        <v>156</v>
      </c>
      <c r="I6" s="10"/>
      <c r="J6" s="11" t="s">
        <v>33</v>
      </c>
      <c r="K6" s="12" t="s">
        <v>34</v>
      </c>
      <c r="L6" s="10"/>
      <c r="M6" s="11" t="s">
        <v>35</v>
      </c>
      <c r="N6" s="12"/>
      <c r="O6" s="10"/>
      <c r="P6" s="27"/>
      <c r="Q6" s="14"/>
      <c r="R6" s="10"/>
      <c r="S6" s="27"/>
      <c r="T6" s="12"/>
      <c r="U6" s="10"/>
      <c r="V6" s="27"/>
      <c r="W6" s="12"/>
      <c r="X6" s="10"/>
      <c r="Y6" s="27"/>
      <c r="Z6" s="57"/>
      <c r="AA6" s="12" t="s">
        <v>37</v>
      </c>
      <c r="AB6" s="10"/>
      <c r="AC6" s="27"/>
    </row>
    <row r="7" ht="22.5" customHeight="1">
      <c r="A7" s="30">
        <v>6.0</v>
      </c>
      <c r="B7" s="26">
        <v>1.0</v>
      </c>
      <c r="C7" s="33" t="s">
        <v>443</v>
      </c>
      <c r="D7" s="21" t="s">
        <v>60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0.3333333333</v>
      </c>
      <c r="G7" s="18" t="s">
        <v>444</v>
      </c>
      <c r="H7" s="36" t="s">
        <v>156</v>
      </c>
      <c r="I7" s="10"/>
      <c r="J7" s="11" t="s">
        <v>33</v>
      </c>
      <c r="K7" s="12" t="s">
        <v>34</v>
      </c>
      <c r="L7" s="10"/>
      <c r="M7" s="11" t="s">
        <v>35</v>
      </c>
      <c r="N7" s="12"/>
      <c r="O7" s="10"/>
      <c r="P7" s="27"/>
      <c r="Q7" s="14"/>
      <c r="R7" s="10"/>
      <c r="S7" s="27"/>
      <c r="T7" s="12"/>
      <c r="U7" s="10"/>
      <c r="V7" s="27"/>
      <c r="W7" s="12"/>
      <c r="X7" s="10"/>
      <c r="Y7" s="27"/>
      <c r="Z7" s="37"/>
      <c r="AA7" s="12" t="s">
        <v>37</v>
      </c>
      <c r="AB7" s="10"/>
      <c r="AC7" s="27"/>
    </row>
    <row r="8" ht="22.5" customHeight="1">
      <c r="A8" s="30">
        <v>6.0</v>
      </c>
      <c r="B8" s="25">
        <v>1.0</v>
      </c>
      <c r="C8" s="30" t="s">
        <v>445</v>
      </c>
      <c r="D8" s="22" t="s">
        <v>149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0.3333333333</v>
      </c>
      <c r="G8" s="37"/>
      <c r="H8" s="36" t="s">
        <v>156</v>
      </c>
      <c r="I8" s="10"/>
      <c r="J8" s="11" t="s">
        <v>33</v>
      </c>
      <c r="K8" s="12" t="s">
        <v>34</v>
      </c>
      <c r="L8" s="10"/>
      <c r="M8" s="11" t="s">
        <v>35</v>
      </c>
      <c r="N8" s="12"/>
      <c r="O8" s="10"/>
      <c r="P8" s="27"/>
      <c r="Q8" s="14"/>
      <c r="R8" s="10"/>
      <c r="S8" s="27"/>
      <c r="T8" s="12"/>
      <c r="U8" s="10"/>
      <c r="V8" s="27"/>
      <c r="W8" s="12"/>
      <c r="X8" s="10"/>
      <c r="Y8" s="27"/>
      <c r="Z8" s="56"/>
      <c r="AA8" s="12" t="s">
        <v>37</v>
      </c>
      <c r="AB8" s="10"/>
      <c r="AC8" s="11" t="s">
        <v>35</v>
      </c>
    </row>
    <row r="9" ht="22.5" customHeight="1">
      <c r="A9" s="30">
        <v>6.0</v>
      </c>
      <c r="B9" s="25">
        <v>1.0</v>
      </c>
      <c r="C9" s="30" t="s">
        <v>446</v>
      </c>
      <c r="D9" s="22" t="s">
        <v>64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0.6666666667</v>
      </c>
      <c r="G9" s="20" t="s">
        <v>447</v>
      </c>
      <c r="H9" s="36" t="s">
        <v>156</v>
      </c>
      <c r="I9" s="10"/>
      <c r="J9" s="11" t="s">
        <v>33</v>
      </c>
      <c r="K9" s="12" t="s">
        <v>34</v>
      </c>
      <c r="L9" s="10"/>
      <c r="M9" s="11" t="s">
        <v>35</v>
      </c>
      <c r="N9" s="12"/>
      <c r="O9" s="10"/>
      <c r="P9" s="27"/>
      <c r="Q9" s="14"/>
      <c r="R9" s="10"/>
      <c r="S9" s="27"/>
      <c r="T9" s="12"/>
      <c r="U9" s="10"/>
      <c r="V9" s="27"/>
      <c r="W9" s="12"/>
      <c r="X9" s="10"/>
      <c r="Y9" s="11" t="s">
        <v>33</v>
      </c>
      <c r="Z9" s="20" t="s">
        <v>448</v>
      </c>
      <c r="AA9" s="12" t="s">
        <v>37</v>
      </c>
      <c r="AB9" s="10"/>
      <c r="AC9" s="11" t="s">
        <v>35</v>
      </c>
    </row>
    <row r="10" ht="22.5" customHeight="1">
      <c r="A10" s="30">
        <v>6.0</v>
      </c>
      <c r="B10" s="26">
        <v>2.0</v>
      </c>
      <c r="C10" s="33" t="s">
        <v>449</v>
      </c>
      <c r="D10" s="21" t="s">
        <v>30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0.3333333333</v>
      </c>
      <c r="G10" s="20" t="s">
        <v>450</v>
      </c>
      <c r="H10" s="36" t="s">
        <v>156</v>
      </c>
      <c r="I10" s="10"/>
      <c r="J10" s="11" t="s">
        <v>33</v>
      </c>
      <c r="K10" s="12" t="s">
        <v>34</v>
      </c>
      <c r="L10" s="10"/>
      <c r="M10" s="11" t="s">
        <v>35</v>
      </c>
      <c r="N10" s="12"/>
      <c r="O10" s="10"/>
      <c r="P10" s="27"/>
      <c r="Q10" s="14"/>
      <c r="R10" s="10"/>
      <c r="S10" s="27"/>
      <c r="T10" s="12"/>
      <c r="U10" s="10"/>
      <c r="V10" s="27"/>
      <c r="W10" s="12"/>
      <c r="X10" s="10"/>
      <c r="Y10" s="27"/>
      <c r="Z10" s="56"/>
      <c r="AA10" s="12" t="s">
        <v>37</v>
      </c>
      <c r="AB10" s="10"/>
      <c r="AC10" s="27"/>
    </row>
    <row r="11" ht="22.5" customHeight="1">
      <c r="A11" s="30">
        <v>6.0</v>
      </c>
      <c r="B11" s="25">
        <v>2.0</v>
      </c>
      <c r="C11" s="30" t="s">
        <v>451</v>
      </c>
      <c r="D11" s="22" t="s">
        <v>30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0.3333333333</v>
      </c>
      <c r="G11" s="23" t="s">
        <v>452</v>
      </c>
      <c r="H11" s="36" t="s">
        <v>156</v>
      </c>
      <c r="I11" s="10"/>
      <c r="J11" s="11" t="s">
        <v>33</v>
      </c>
      <c r="K11" s="12" t="s">
        <v>34</v>
      </c>
      <c r="L11" s="10"/>
      <c r="M11" s="11" t="s">
        <v>35</v>
      </c>
      <c r="N11" s="12"/>
      <c r="O11" s="10"/>
      <c r="P11" s="27"/>
      <c r="Q11" s="14"/>
      <c r="R11" s="10"/>
      <c r="S11" s="27"/>
      <c r="T11" s="12"/>
      <c r="U11" s="10"/>
      <c r="V11" s="27"/>
      <c r="W11" s="12"/>
      <c r="X11" s="10"/>
      <c r="Y11" s="27"/>
      <c r="Z11" s="37"/>
      <c r="AA11" s="12" t="s">
        <v>37</v>
      </c>
      <c r="AB11" s="10"/>
      <c r="AC11" s="27"/>
    </row>
    <row r="12" ht="22.5" customHeight="1">
      <c r="A12" s="30">
        <v>6.0</v>
      </c>
      <c r="B12" s="26">
        <v>2.0</v>
      </c>
      <c r="C12" s="33" t="s">
        <v>453</v>
      </c>
      <c r="D12" s="21" t="s">
        <v>45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0.6666666667</v>
      </c>
      <c r="G12" s="18" t="s">
        <v>454</v>
      </c>
      <c r="H12" s="36" t="s">
        <v>156</v>
      </c>
      <c r="I12" s="10"/>
      <c r="J12" s="11" t="s">
        <v>33</v>
      </c>
      <c r="K12" s="12" t="s">
        <v>34</v>
      </c>
      <c r="L12" s="10"/>
      <c r="M12" s="11" t="s">
        <v>35</v>
      </c>
      <c r="N12" s="12"/>
      <c r="O12" s="10"/>
      <c r="P12" s="27"/>
      <c r="Q12" s="14"/>
      <c r="R12" s="10"/>
      <c r="S12" s="27"/>
      <c r="T12" s="12"/>
      <c r="U12" s="10"/>
      <c r="V12" s="27"/>
      <c r="W12" s="12"/>
      <c r="X12" s="10"/>
      <c r="Y12" s="11" t="s">
        <v>33</v>
      </c>
      <c r="Z12" s="18" t="s">
        <v>455</v>
      </c>
      <c r="AA12" s="12" t="s">
        <v>37</v>
      </c>
      <c r="AB12" s="10"/>
      <c r="AC12" s="11" t="s">
        <v>35</v>
      </c>
    </row>
    <row r="13" ht="22.5" customHeight="1">
      <c r="A13" s="30">
        <v>6.0</v>
      </c>
      <c r="B13" s="25">
        <v>2.0</v>
      </c>
      <c r="C13" s="30" t="s">
        <v>456</v>
      </c>
      <c r="D13" s="22" t="s">
        <v>45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0.6666666667</v>
      </c>
      <c r="G13" s="18" t="s">
        <v>457</v>
      </c>
      <c r="H13" s="36" t="s">
        <v>156</v>
      </c>
      <c r="I13" s="10"/>
      <c r="J13" s="11" t="s">
        <v>33</v>
      </c>
      <c r="K13" s="12" t="s">
        <v>34</v>
      </c>
      <c r="L13" s="10"/>
      <c r="M13" s="11" t="s">
        <v>35</v>
      </c>
      <c r="N13" s="12"/>
      <c r="O13" s="10"/>
      <c r="P13" s="27"/>
      <c r="Q13" s="14"/>
      <c r="R13" s="10"/>
      <c r="S13" s="27"/>
      <c r="T13" s="12"/>
      <c r="U13" s="10"/>
      <c r="V13" s="27"/>
      <c r="W13" s="12"/>
      <c r="X13" s="10"/>
      <c r="Y13" s="11" t="s">
        <v>33</v>
      </c>
      <c r="Z13" s="18" t="s">
        <v>458</v>
      </c>
      <c r="AA13" s="12" t="s">
        <v>37</v>
      </c>
      <c r="AB13" s="10"/>
      <c r="AC13" s="11" t="s">
        <v>35</v>
      </c>
    </row>
    <row r="14" ht="22.5" customHeight="1">
      <c r="A14" s="30">
        <v>6.0</v>
      </c>
      <c r="B14" s="26">
        <v>2.0</v>
      </c>
      <c r="C14" s="33" t="s">
        <v>459</v>
      </c>
      <c r="D14" s="21" t="s">
        <v>56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0.3333333333</v>
      </c>
      <c r="G14" s="18" t="s">
        <v>460</v>
      </c>
      <c r="H14" s="36" t="s">
        <v>156</v>
      </c>
      <c r="I14" s="10"/>
      <c r="J14" s="11" t="s">
        <v>33</v>
      </c>
      <c r="K14" s="12" t="s">
        <v>34</v>
      </c>
      <c r="L14" s="10"/>
      <c r="M14" s="11" t="s">
        <v>35</v>
      </c>
      <c r="N14" s="12"/>
      <c r="O14" s="10"/>
      <c r="P14" s="27"/>
      <c r="Q14" s="14"/>
      <c r="R14" s="10"/>
      <c r="S14" s="27"/>
      <c r="T14" s="12"/>
      <c r="U14" s="10"/>
      <c r="V14" s="27"/>
      <c r="W14" s="12"/>
      <c r="X14" s="10"/>
      <c r="Y14" s="27"/>
      <c r="Z14" s="37"/>
      <c r="AA14" s="12" t="s">
        <v>37</v>
      </c>
      <c r="AB14" s="10"/>
      <c r="AC14" s="27"/>
    </row>
    <row r="15" ht="22.5" customHeight="1">
      <c r="A15" s="30">
        <v>6.0</v>
      </c>
      <c r="B15" s="25">
        <v>2.0</v>
      </c>
      <c r="C15" s="30" t="s">
        <v>461</v>
      </c>
      <c r="D15" s="22" t="s">
        <v>60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0.3333333333</v>
      </c>
      <c r="G15" s="23" t="s">
        <v>462</v>
      </c>
      <c r="H15" s="36" t="s">
        <v>156</v>
      </c>
      <c r="I15" s="10"/>
      <c r="J15" s="11" t="s">
        <v>33</v>
      </c>
      <c r="K15" s="12" t="s">
        <v>34</v>
      </c>
      <c r="L15" s="10"/>
      <c r="M15" s="11" t="s">
        <v>35</v>
      </c>
      <c r="N15" s="12"/>
      <c r="O15" s="10"/>
      <c r="P15" s="27"/>
      <c r="Q15" s="14"/>
      <c r="R15" s="10"/>
      <c r="S15" s="27"/>
      <c r="T15" s="12"/>
      <c r="U15" s="10"/>
      <c r="V15" s="27"/>
      <c r="W15" s="12"/>
      <c r="X15" s="10"/>
      <c r="Y15" s="27"/>
      <c r="Z15" s="37"/>
      <c r="AA15" s="12" t="s">
        <v>37</v>
      </c>
      <c r="AB15" s="10"/>
      <c r="AC15" s="27"/>
    </row>
    <row r="16" ht="22.5" customHeight="1">
      <c r="A16" s="30">
        <v>6.0</v>
      </c>
      <c r="B16" s="26">
        <v>2.0</v>
      </c>
      <c r="C16" s="33" t="s">
        <v>463</v>
      </c>
      <c r="D16" s="21" t="s">
        <v>149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0.3333333333</v>
      </c>
      <c r="G16" s="37"/>
      <c r="H16" s="36" t="s">
        <v>156</v>
      </c>
      <c r="I16" s="10"/>
      <c r="J16" s="11" t="s">
        <v>33</v>
      </c>
      <c r="K16" s="12" t="s">
        <v>34</v>
      </c>
      <c r="L16" s="10"/>
      <c r="M16" s="11" t="s">
        <v>35</v>
      </c>
      <c r="N16" s="12"/>
      <c r="O16" s="10"/>
      <c r="P16" s="27"/>
      <c r="Q16" s="14"/>
      <c r="R16" s="10"/>
      <c r="S16" s="27"/>
      <c r="T16" s="12"/>
      <c r="U16" s="10"/>
      <c r="V16" s="27"/>
      <c r="W16" s="12"/>
      <c r="X16" s="10"/>
      <c r="Y16" s="27"/>
      <c r="Z16" s="37"/>
      <c r="AA16" s="12" t="s">
        <v>37</v>
      </c>
      <c r="AB16" s="10"/>
      <c r="AC16" s="27"/>
    </row>
    <row r="17" ht="22.5" customHeight="1">
      <c r="A17" s="30">
        <v>6.0</v>
      </c>
      <c r="B17" s="26">
        <v>2.0</v>
      </c>
      <c r="C17" s="33" t="s">
        <v>464</v>
      </c>
      <c r="D17" s="21" t="s">
        <v>64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0.3333333333</v>
      </c>
      <c r="G17" s="18" t="s">
        <v>465</v>
      </c>
      <c r="H17" s="36" t="s">
        <v>156</v>
      </c>
      <c r="I17" s="10"/>
      <c r="J17" s="11" t="s">
        <v>33</v>
      </c>
      <c r="K17" s="12" t="s">
        <v>34</v>
      </c>
      <c r="L17" s="10"/>
      <c r="M17" s="11" t="s">
        <v>35</v>
      </c>
      <c r="N17" s="12"/>
      <c r="O17" s="10"/>
      <c r="P17" s="27"/>
      <c r="Q17" s="14"/>
      <c r="R17" s="10"/>
      <c r="S17" s="27"/>
      <c r="T17" s="12"/>
      <c r="U17" s="10"/>
      <c r="V17" s="27"/>
      <c r="W17" s="12"/>
      <c r="X17" s="10"/>
      <c r="Y17" s="11" t="s">
        <v>271</v>
      </c>
      <c r="Z17" s="37"/>
      <c r="AA17" s="12" t="s">
        <v>37</v>
      </c>
      <c r="AB17" s="10"/>
      <c r="AC17" s="27"/>
    </row>
    <row r="18" ht="22.5" customHeight="1">
      <c r="A18" s="30">
        <v>6.0</v>
      </c>
      <c r="B18" s="25">
        <v>3.0</v>
      </c>
      <c r="C18" s="30" t="s">
        <v>466</v>
      </c>
      <c r="D18" s="22" t="s">
        <v>30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0.3333333333</v>
      </c>
      <c r="G18" s="18" t="s">
        <v>467</v>
      </c>
      <c r="H18" s="36" t="s">
        <v>156</v>
      </c>
      <c r="I18" s="10"/>
      <c r="J18" s="11" t="s">
        <v>33</v>
      </c>
      <c r="K18" s="12" t="s">
        <v>34</v>
      </c>
      <c r="L18" s="10"/>
      <c r="M18" s="11" t="s">
        <v>35</v>
      </c>
      <c r="N18" s="12"/>
      <c r="O18" s="10"/>
      <c r="P18" s="27"/>
      <c r="Q18" s="14"/>
      <c r="R18" s="10"/>
      <c r="S18" s="27"/>
      <c r="T18" s="12"/>
      <c r="U18" s="10"/>
      <c r="V18" s="27"/>
      <c r="W18" s="12"/>
      <c r="X18" s="10"/>
      <c r="Y18" s="27"/>
      <c r="Z18" s="37"/>
      <c r="AA18" s="12" t="s">
        <v>37</v>
      </c>
      <c r="AB18" s="10"/>
      <c r="AC18" s="27"/>
    </row>
    <row r="19" ht="22.5" customHeight="1">
      <c r="A19" s="30">
        <v>6.0</v>
      </c>
      <c r="B19" s="26">
        <v>3.0</v>
      </c>
      <c r="C19" s="33" t="s">
        <v>468</v>
      </c>
      <c r="D19" s="21" t="s">
        <v>45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0.6666666667</v>
      </c>
      <c r="G19" s="18" t="s">
        <v>469</v>
      </c>
      <c r="H19" s="36" t="s">
        <v>156</v>
      </c>
      <c r="I19" s="10"/>
      <c r="J19" s="11" t="s">
        <v>33</v>
      </c>
      <c r="K19" s="12" t="s">
        <v>34</v>
      </c>
      <c r="L19" s="10"/>
      <c r="M19" s="11" t="s">
        <v>35</v>
      </c>
      <c r="N19" s="12"/>
      <c r="O19" s="10"/>
      <c r="P19" s="27"/>
      <c r="Q19" s="14"/>
      <c r="R19" s="10"/>
      <c r="S19" s="27"/>
      <c r="T19" s="12"/>
      <c r="U19" s="10"/>
      <c r="V19" s="27"/>
      <c r="W19" s="12"/>
      <c r="X19" s="10"/>
      <c r="Y19" s="11" t="s">
        <v>33</v>
      </c>
      <c r="Z19" s="18" t="s">
        <v>470</v>
      </c>
      <c r="AA19" s="12" t="s">
        <v>37</v>
      </c>
      <c r="AB19" s="10"/>
      <c r="AC19" s="11" t="s">
        <v>35</v>
      </c>
    </row>
    <row r="20" ht="22.5" customHeight="1">
      <c r="A20" s="30">
        <v>6.0</v>
      </c>
      <c r="B20" s="25">
        <v>3.0</v>
      </c>
      <c r="C20" s="30" t="s">
        <v>471</v>
      </c>
      <c r="D20" s="22" t="s">
        <v>56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0.3333333333</v>
      </c>
      <c r="G20" s="18" t="s">
        <v>472</v>
      </c>
      <c r="H20" s="36" t="s">
        <v>156</v>
      </c>
      <c r="I20" s="10"/>
      <c r="J20" s="11" t="s">
        <v>33</v>
      </c>
      <c r="K20" s="12" t="s">
        <v>34</v>
      </c>
      <c r="L20" s="10"/>
      <c r="M20" s="11" t="s">
        <v>35</v>
      </c>
      <c r="N20" s="12"/>
      <c r="O20" s="10"/>
      <c r="P20" s="27"/>
      <c r="Q20" s="14"/>
      <c r="R20" s="10"/>
      <c r="S20" s="27"/>
      <c r="T20" s="12"/>
      <c r="U20" s="10"/>
      <c r="V20" s="27"/>
      <c r="W20" s="12"/>
      <c r="X20" s="10"/>
      <c r="Y20" s="27"/>
      <c r="Z20" s="37"/>
      <c r="AA20" s="12" t="s">
        <v>37</v>
      </c>
      <c r="AB20" s="10"/>
      <c r="AC20" s="27"/>
    </row>
    <row r="21" ht="22.5" customHeight="1">
      <c r="A21" s="30">
        <v>6.0</v>
      </c>
      <c r="B21" s="26">
        <v>3.0</v>
      </c>
      <c r="C21" s="33" t="s">
        <v>473</v>
      </c>
      <c r="D21" s="21" t="s">
        <v>60</v>
      </c>
      <c r="E21" s="7" t="str">
        <f>IFERROR(__xludf.DUMMYFUNCTION("IF(AND(F21 &gt; 0.3, F21 &lt; 0.5), SPARKLINE(F21,{""charttype"",""bar"";""color1"",""Gold"";""max"",1}),
IF(F21 = 1, SPARKLINE(F21,{""charttype"",""bar"";""color1"",""Lime"";""max"",1}),
IF(F21 &gt;= 0.5, SPARKLINE(F21,{""charttype"",""bar"";""color1"",""GreenYel"&amp;"low"";""max"",1}),
SPARKLINE(F21,{""charttype"",""bar"";""color1"",""DarkOrange"";""max"",1}))))"),"")</f>
        <v/>
      </c>
      <c r="F21" s="8">
        <f t="shared" si="1"/>
        <v>0.3333333333</v>
      </c>
      <c r="G21" s="18" t="s">
        <v>474</v>
      </c>
      <c r="H21" s="36" t="s">
        <v>156</v>
      </c>
      <c r="I21" s="10"/>
      <c r="J21" s="11" t="s">
        <v>33</v>
      </c>
      <c r="K21" s="12" t="s">
        <v>34</v>
      </c>
      <c r="L21" s="10"/>
      <c r="M21" s="11" t="s">
        <v>35</v>
      </c>
      <c r="N21" s="12"/>
      <c r="O21" s="10"/>
      <c r="P21" s="27"/>
      <c r="Q21" s="14"/>
      <c r="R21" s="10"/>
      <c r="S21" s="27"/>
      <c r="T21" s="12"/>
      <c r="U21" s="10"/>
      <c r="V21" s="27"/>
      <c r="W21" s="12"/>
      <c r="X21" s="10"/>
      <c r="Y21" s="27"/>
      <c r="Z21" s="37"/>
      <c r="AA21" s="12" t="s">
        <v>37</v>
      </c>
      <c r="AB21" s="10"/>
      <c r="AC21" s="27"/>
    </row>
    <row r="22" ht="22.5" customHeight="1">
      <c r="A22" s="30">
        <v>6.0</v>
      </c>
      <c r="B22" s="25">
        <v>3.0</v>
      </c>
      <c r="C22" s="30" t="s">
        <v>475</v>
      </c>
      <c r="D22" s="22" t="s">
        <v>149</v>
      </c>
      <c r="E22" s="7" t="str">
        <f>IFERROR(__xludf.DUMMYFUNCTION("IF(AND(F22 &gt; 0.3, F22 &lt; 0.5), SPARKLINE(F22,{""charttype"",""bar"";""color1"",""Gold"";""max"",1}),
IF(F22 = 1, SPARKLINE(F22,{""charttype"",""bar"";""color1"",""Lime"";""max"",1}),
IF(F22 &gt;= 0.5, SPARKLINE(F22,{""charttype"",""bar"";""color1"",""GreenYel"&amp;"low"";""max"",1}),
SPARKLINE(F22,{""charttype"",""bar"";""color1"",""DarkOrange"";""max"",1}))))"),"")</f>
        <v/>
      </c>
      <c r="F22" s="8">
        <f t="shared" si="1"/>
        <v>0.3333333333</v>
      </c>
      <c r="G22" s="37"/>
      <c r="H22" s="36" t="s">
        <v>156</v>
      </c>
      <c r="I22" s="10"/>
      <c r="J22" s="11" t="s">
        <v>33</v>
      </c>
      <c r="K22" s="12" t="s">
        <v>34</v>
      </c>
      <c r="L22" s="10"/>
      <c r="M22" s="11" t="s">
        <v>35</v>
      </c>
      <c r="N22" s="12"/>
      <c r="O22" s="10"/>
      <c r="P22" s="27"/>
      <c r="Q22" s="14"/>
      <c r="R22" s="10"/>
      <c r="S22" s="27"/>
      <c r="T22" s="12"/>
      <c r="U22" s="10"/>
      <c r="V22" s="27"/>
      <c r="W22" s="12"/>
      <c r="X22" s="10"/>
      <c r="Y22" s="27"/>
      <c r="Z22" s="37"/>
      <c r="AA22" s="12" t="s">
        <v>37</v>
      </c>
      <c r="AB22" s="10"/>
      <c r="AC22" s="27"/>
    </row>
    <row r="23" ht="22.5" customHeight="1">
      <c r="A23" s="30">
        <v>6.0</v>
      </c>
      <c r="B23" s="26">
        <v>3.0</v>
      </c>
      <c r="C23" s="33" t="s">
        <v>476</v>
      </c>
      <c r="D23" s="21" t="s">
        <v>95</v>
      </c>
      <c r="E23" s="7" t="str">
        <f>IFERROR(__xludf.DUMMYFUNCTION("IF(AND(F23 &gt; 0.3, F23 &lt; 0.5), SPARKLINE(F23,{""charttype"",""bar"";""color1"",""Gold"";""max"",1}),
IF(F23 = 1, SPARKLINE(F23,{""charttype"",""bar"";""color1"",""Lime"";""max"",1}),
IF(F23 &gt;= 0.5, SPARKLINE(F23,{""charttype"",""bar"";""color1"",""GreenYel"&amp;"low"";""max"",1}),
SPARKLINE(F23,{""charttype"",""bar"";""color1"",""DarkOrange"";""max"",1}))))"),"")</f>
        <v/>
      </c>
      <c r="F23" s="8">
        <f t="shared" si="1"/>
        <v>0</v>
      </c>
      <c r="G23" s="18" t="s">
        <v>477</v>
      </c>
      <c r="H23" s="36" t="s">
        <v>156</v>
      </c>
      <c r="I23" s="10"/>
      <c r="J23" s="11" t="s">
        <v>271</v>
      </c>
      <c r="K23" s="12" t="s">
        <v>34</v>
      </c>
      <c r="L23" s="10"/>
      <c r="M23" s="11"/>
      <c r="N23" s="12"/>
      <c r="O23" s="10"/>
      <c r="P23" s="27"/>
      <c r="Q23" s="14"/>
      <c r="R23" s="10"/>
      <c r="S23" s="27"/>
      <c r="T23" s="12"/>
      <c r="U23" s="10"/>
      <c r="V23" s="27"/>
      <c r="W23" s="12"/>
      <c r="X23" s="10"/>
      <c r="Y23" s="27"/>
      <c r="Z23" s="37"/>
      <c r="AA23" s="12" t="s">
        <v>37</v>
      </c>
      <c r="AB23" s="10"/>
      <c r="AC23" s="27"/>
    </row>
    <row r="24" ht="22.5" customHeight="1">
      <c r="A24" s="30">
        <v>6.0</v>
      </c>
      <c r="B24" s="25">
        <v>3.0</v>
      </c>
      <c r="C24" s="30" t="s">
        <v>478</v>
      </c>
      <c r="D24" s="22" t="s">
        <v>64</v>
      </c>
      <c r="E24" s="7" t="str">
        <f>IFERROR(__xludf.DUMMYFUNCTION("IF(AND(F24 &gt; 0.3, F24 &lt; 0.5), SPARKLINE(F24,{""charttype"",""bar"";""color1"",""Gold"";""max"",1}),
IF(F24 = 1, SPARKLINE(F24,{""charttype"",""bar"";""color1"",""Lime"";""max"",1}),
IF(F24 &gt;= 0.5, SPARKLINE(F24,{""charttype"",""bar"";""color1"",""GreenYel"&amp;"low"";""max"",1}),
SPARKLINE(F24,{""charttype"",""bar"";""color1"",""DarkOrange"";""max"",1}))))"),"")</f>
        <v/>
      </c>
      <c r="F24" s="8">
        <f t="shared" si="1"/>
        <v>0.3333333333</v>
      </c>
      <c r="G24" s="18" t="s">
        <v>479</v>
      </c>
      <c r="H24" s="36" t="s">
        <v>156</v>
      </c>
      <c r="I24" s="10"/>
      <c r="J24" s="11" t="s">
        <v>33</v>
      </c>
      <c r="K24" s="12" t="s">
        <v>34</v>
      </c>
      <c r="L24" s="10"/>
      <c r="M24" s="11" t="s">
        <v>35</v>
      </c>
      <c r="N24" s="12"/>
      <c r="O24" s="10"/>
      <c r="P24" s="27"/>
      <c r="Q24" s="14"/>
      <c r="R24" s="10"/>
      <c r="S24" s="27"/>
      <c r="T24" s="12"/>
      <c r="U24" s="10"/>
      <c r="V24" s="27"/>
      <c r="W24" s="12"/>
      <c r="X24" s="10"/>
      <c r="Y24" s="27"/>
      <c r="Z24" s="37"/>
      <c r="AA24" s="12" t="s">
        <v>37</v>
      </c>
      <c r="AB24" s="10"/>
      <c r="AC24" s="27"/>
    </row>
  </sheetData>
  <dataValidations>
    <dataValidation type="list" allowBlank="1" sqref="P2:P24 S2:S24 Y2:Y24">
      <formula1>"Concluído,Em Andamento,Pendente,Precisa de Alteração"</formula1>
    </dataValidation>
    <dataValidation type="list" allowBlank="1" sqref="J2:J24">
      <formula1>"Concluído,Em Andamento,Pendente,Precisa de Alteração,Não há"</formula1>
    </dataValidation>
    <dataValidation type="custom" allowBlank="1" showDropDown="1" sqref="I2:I24 L2:L24 O2:O24 R2:R24 U2:U24 X2:X24 AB2:AB24">
      <formula1>OR(NOT(ISERROR(DATEVALUE(I2))), AND(ISNUMBER(I2), LEFT(CELL("format", I2))="D"))</formula1>
    </dataValidation>
    <dataValidation type="list" allowBlank="1" sqref="V2:V24">
      <formula1>"Concluído,Em Andamento,Pendente,Precisa de Alteração,Não Há"</formula1>
    </dataValidation>
    <dataValidation type="list" allowBlank="1" sqref="AC2:AC24">
      <formula1>"Concluído,Em Andamento,Pendente,Aguardando Correção"</formula1>
    </dataValidation>
    <dataValidation type="custom" allowBlank="1" showDropDown="1" sqref="F2:F24">
      <formula1>AND(ISNUMBER(F2),(NOT(OR(NOT(ISERROR(DATEVALUE(F2))), AND(ISNUMBER(F2), LEFT(CELL("format", F2))="D")))))</formula1>
    </dataValidation>
    <dataValidation type="list" allowBlank="1" sqref="M2:M24">
      <formula1>"Concluído,Em Andamento,Pendente,Aguardando Correção,Não há"</formula1>
    </dataValidation>
  </dataValidations>
  <hyperlinks>
    <hyperlink r:id="rId1" ref="G2"/>
    <hyperlink r:id="rId2" ref="H2"/>
    <hyperlink r:id="rId3" ref="G3"/>
    <hyperlink r:id="rId4" ref="H3"/>
    <hyperlink r:id="rId5" ref="G4"/>
    <hyperlink r:id="rId6" ref="H4"/>
    <hyperlink r:id="rId7" ref="Z4"/>
    <hyperlink r:id="rId8" ref="G5"/>
    <hyperlink r:id="rId9" ref="H5"/>
    <hyperlink r:id="rId10" ref="Z5"/>
    <hyperlink r:id="rId11" ref="G6"/>
    <hyperlink r:id="rId12" ref="H6"/>
    <hyperlink r:id="rId13" ref="G7"/>
    <hyperlink r:id="rId14" ref="H7"/>
    <hyperlink r:id="rId15" ref="H8"/>
    <hyperlink r:id="rId16" ref="G9"/>
    <hyperlink r:id="rId17" ref="H9"/>
    <hyperlink r:id="rId18" ref="Z9"/>
    <hyperlink r:id="rId19" ref="G10"/>
    <hyperlink r:id="rId20" ref="H10"/>
    <hyperlink r:id="rId21" ref="G11"/>
    <hyperlink r:id="rId22" ref="H11"/>
    <hyperlink r:id="rId23" ref="G12"/>
    <hyperlink r:id="rId24" ref="H12"/>
    <hyperlink r:id="rId25" ref="Z12"/>
    <hyperlink r:id="rId26" ref="G13"/>
    <hyperlink r:id="rId27" ref="H13"/>
    <hyperlink r:id="rId28" ref="Z13"/>
    <hyperlink r:id="rId29" ref="G14"/>
    <hyperlink r:id="rId30" ref="H14"/>
    <hyperlink r:id="rId31" ref="G15"/>
    <hyperlink r:id="rId32" ref="H15"/>
    <hyperlink r:id="rId33" ref="H16"/>
    <hyperlink r:id="rId34" ref="G17"/>
    <hyperlink r:id="rId35" ref="H17"/>
    <hyperlink r:id="rId36" ref="G18"/>
    <hyperlink r:id="rId37" ref="H18"/>
    <hyperlink r:id="rId38" ref="G19"/>
    <hyperlink r:id="rId39" ref="H19"/>
    <hyperlink r:id="rId40" ref="Z19"/>
    <hyperlink r:id="rId41" ref="G20"/>
    <hyperlink r:id="rId42" ref="H20"/>
    <hyperlink r:id="rId43" ref="G21"/>
    <hyperlink r:id="rId44" ref="H21"/>
    <hyperlink r:id="rId45" ref="H22"/>
    <hyperlink r:id="rId46" ref="G23"/>
    <hyperlink r:id="rId47" ref="H23"/>
    <hyperlink r:id="rId48" ref="G24"/>
    <hyperlink r:id="rId49" ref="H24"/>
  </hyperlinks>
  <drawing r:id="rId50"/>
  <tableParts count="1">
    <tablePart r:id="rId5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6.13"/>
    <col customWidth="1" min="2" max="2" width="14.13"/>
    <col customWidth="1" min="3" max="3" width="15.63"/>
    <col customWidth="1" min="4" max="4" width="15.13"/>
    <col customWidth="1" min="5" max="5" width="18.63"/>
    <col customWidth="1" min="6" max="6" width="6.75"/>
    <col customWidth="1" min="7" max="7" width="18.63"/>
    <col customWidth="1" min="8" max="8" width="17.75"/>
    <col customWidth="1" min="9" max="9" width="11.63"/>
    <col customWidth="1" min="10" max="10" width="20.75"/>
    <col customWidth="1" min="11" max="11" width="16.25"/>
    <col customWidth="1" min="12" max="12" width="20.13"/>
    <col customWidth="1" min="13" max="13" width="21.75"/>
    <col customWidth="1" min="14" max="14" width="16.63"/>
    <col customWidth="1" min="15" max="15" width="20.13"/>
    <col customWidth="1" min="16" max="17" width="21.75"/>
    <col customWidth="1" min="18" max="18" width="20.13"/>
    <col customWidth="1" min="19" max="19" width="21.75"/>
    <col customWidth="1" min="20" max="20" width="16.25"/>
    <col customWidth="1" min="21" max="21" width="20.13"/>
    <col customWidth="1" min="22" max="22" width="21.75"/>
    <col customWidth="1" min="23" max="23" width="16.25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30">
        <v>7.0</v>
      </c>
      <c r="B2" s="53">
        <v>1.0</v>
      </c>
      <c r="C2" s="30" t="s">
        <v>480</v>
      </c>
      <c r="D2" s="22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43" si="1">IF(OR(D2="ROTEIRO DE VÍDEO", D2="VÍDEO"), (IF(J2="Concluído", 1, 0) + IF(Y2="Concluído", 1, 0) + IF(AC2="Concluído", 1, 0)) / 3,
IF(OR(D2="SLIDE", D2="FÓRUM", D2="PLANO DE AULA", D2="QUIZ", D2="TAREFA", D2="EBOOK", D2="PDF(AVULSO)"), (IF(J2="Concluído", 1, 0) + IF(Y2="Concluído", 1, 0) + IF(AC2="Concluído", 1, 0)) / 3))</f>
        <v>0.3333333333</v>
      </c>
      <c r="G2" s="9" t="s">
        <v>481</v>
      </c>
      <c r="H2" s="36" t="s">
        <v>156</v>
      </c>
      <c r="I2" s="10"/>
      <c r="J2" s="11" t="s">
        <v>33</v>
      </c>
      <c r="K2" s="12" t="s">
        <v>34</v>
      </c>
      <c r="L2" s="10"/>
      <c r="M2" s="11" t="s">
        <v>35</v>
      </c>
      <c r="N2" s="12"/>
      <c r="O2" s="10"/>
      <c r="P2" s="31"/>
      <c r="Q2" s="14"/>
      <c r="R2" s="10"/>
      <c r="S2" s="31"/>
      <c r="T2" s="12"/>
      <c r="U2" s="10"/>
      <c r="V2" s="31"/>
      <c r="W2" s="12"/>
      <c r="X2" s="10"/>
      <c r="Y2" s="31"/>
      <c r="Z2" s="37"/>
      <c r="AA2" s="12" t="s">
        <v>37</v>
      </c>
      <c r="AB2" s="10"/>
      <c r="AC2" s="27"/>
    </row>
    <row r="3" ht="22.5" customHeight="1">
      <c r="A3" s="30">
        <v>7.0</v>
      </c>
      <c r="B3" s="54">
        <v>1.0</v>
      </c>
      <c r="C3" s="33" t="s">
        <v>482</v>
      </c>
      <c r="D3" s="21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0.3333333333</v>
      </c>
      <c r="G3" s="18" t="s">
        <v>483</v>
      </c>
      <c r="H3" s="36" t="s">
        <v>156</v>
      </c>
      <c r="I3" s="10"/>
      <c r="J3" s="11" t="s">
        <v>33</v>
      </c>
      <c r="K3" s="12" t="s">
        <v>34</v>
      </c>
      <c r="L3" s="10"/>
      <c r="M3" s="11" t="s">
        <v>35</v>
      </c>
      <c r="N3" s="12"/>
      <c r="O3" s="10"/>
      <c r="P3" s="27"/>
      <c r="Q3" s="14"/>
      <c r="R3" s="10"/>
      <c r="S3" s="27"/>
      <c r="T3" s="12"/>
      <c r="U3" s="10"/>
      <c r="V3" s="27"/>
      <c r="W3" s="12"/>
      <c r="X3" s="10"/>
      <c r="Y3" s="27"/>
      <c r="Z3" s="37"/>
      <c r="AA3" s="12" t="s">
        <v>37</v>
      </c>
      <c r="AB3" s="10"/>
      <c r="AC3" s="27"/>
    </row>
    <row r="4" ht="22.5" customHeight="1">
      <c r="A4" s="30">
        <v>7.0</v>
      </c>
      <c r="B4" s="53">
        <v>1.0</v>
      </c>
      <c r="C4" s="30" t="s">
        <v>484</v>
      </c>
      <c r="D4" s="22" t="s">
        <v>30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0.3333333333</v>
      </c>
      <c r="G4" s="20" t="s">
        <v>485</v>
      </c>
      <c r="H4" s="36" t="s">
        <v>156</v>
      </c>
      <c r="I4" s="10"/>
      <c r="J4" s="11" t="s">
        <v>33</v>
      </c>
      <c r="K4" s="12" t="s">
        <v>34</v>
      </c>
      <c r="L4" s="10"/>
      <c r="M4" s="11" t="s">
        <v>35</v>
      </c>
      <c r="N4" s="12"/>
      <c r="O4" s="10"/>
      <c r="P4" s="27"/>
      <c r="Q4" s="14"/>
      <c r="R4" s="10"/>
      <c r="S4" s="27"/>
      <c r="T4" s="12"/>
      <c r="U4" s="10"/>
      <c r="V4" s="27"/>
      <c r="W4" s="12"/>
      <c r="X4" s="10"/>
      <c r="Y4" s="27"/>
      <c r="Z4" s="37"/>
      <c r="AA4" s="12" t="s">
        <v>37</v>
      </c>
      <c r="AB4" s="10"/>
      <c r="AC4" s="27"/>
    </row>
    <row r="5" ht="22.5" customHeight="1">
      <c r="A5" s="30">
        <v>7.0</v>
      </c>
      <c r="B5" s="54">
        <v>1.0</v>
      </c>
      <c r="C5" s="33" t="s">
        <v>486</v>
      </c>
      <c r="D5" s="21" t="s">
        <v>30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0.3333333333</v>
      </c>
      <c r="G5" s="18" t="s">
        <v>487</v>
      </c>
      <c r="H5" s="36" t="s">
        <v>156</v>
      </c>
      <c r="I5" s="10"/>
      <c r="J5" s="11" t="s">
        <v>33</v>
      </c>
      <c r="K5" s="12" t="s">
        <v>34</v>
      </c>
      <c r="L5" s="10"/>
      <c r="M5" s="11" t="s">
        <v>35</v>
      </c>
      <c r="N5" s="12"/>
      <c r="O5" s="10"/>
      <c r="P5" s="27"/>
      <c r="Q5" s="14"/>
      <c r="R5" s="10"/>
      <c r="S5" s="27"/>
      <c r="T5" s="12"/>
      <c r="U5" s="10"/>
      <c r="V5" s="27"/>
      <c r="W5" s="12"/>
      <c r="X5" s="10"/>
      <c r="Y5" s="27"/>
      <c r="Z5" s="37"/>
      <c r="AA5" s="12" t="s">
        <v>37</v>
      </c>
      <c r="AB5" s="10"/>
      <c r="AC5" s="27"/>
    </row>
    <row r="6" ht="22.5" customHeight="1">
      <c r="A6" s="30">
        <v>7.0</v>
      </c>
      <c r="B6" s="53">
        <v>1.0</v>
      </c>
      <c r="C6" s="30" t="s">
        <v>488</v>
      </c>
      <c r="D6" s="22" t="s">
        <v>45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0.6666666667</v>
      </c>
      <c r="G6" s="18" t="s">
        <v>489</v>
      </c>
      <c r="H6" s="36" t="s">
        <v>156</v>
      </c>
      <c r="I6" s="10"/>
      <c r="J6" s="11" t="s">
        <v>33</v>
      </c>
      <c r="K6" s="12" t="s">
        <v>34</v>
      </c>
      <c r="L6" s="10"/>
      <c r="M6" s="11" t="s">
        <v>35</v>
      </c>
      <c r="N6" s="12"/>
      <c r="O6" s="10"/>
      <c r="P6" s="27"/>
      <c r="Q6" s="14"/>
      <c r="R6" s="10"/>
      <c r="S6" s="27"/>
      <c r="T6" s="12"/>
      <c r="U6" s="10"/>
      <c r="V6" s="27"/>
      <c r="W6" s="12"/>
      <c r="X6" s="10"/>
      <c r="Y6" s="11" t="s">
        <v>33</v>
      </c>
      <c r="Z6" s="23" t="s">
        <v>490</v>
      </c>
      <c r="AA6" s="12" t="s">
        <v>37</v>
      </c>
      <c r="AB6" s="10"/>
      <c r="AC6" s="11" t="s">
        <v>35</v>
      </c>
    </row>
    <row r="7" ht="22.5" customHeight="1">
      <c r="A7" s="30">
        <v>7.0</v>
      </c>
      <c r="B7" s="54">
        <v>1.0</v>
      </c>
      <c r="C7" s="33" t="s">
        <v>491</v>
      </c>
      <c r="D7" s="21" t="s">
        <v>45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0.6666666667</v>
      </c>
      <c r="G7" s="18" t="s">
        <v>492</v>
      </c>
      <c r="H7" s="36" t="s">
        <v>156</v>
      </c>
      <c r="I7" s="10"/>
      <c r="J7" s="11" t="s">
        <v>33</v>
      </c>
      <c r="K7" s="12" t="s">
        <v>34</v>
      </c>
      <c r="L7" s="10"/>
      <c r="M7" s="11" t="s">
        <v>35</v>
      </c>
      <c r="N7" s="12"/>
      <c r="O7" s="10"/>
      <c r="P7" s="27"/>
      <c r="Q7" s="14"/>
      <c r="R7" s="10"/>
      <c r="S7" s="27"/>
      <c r="T7" s="12"/>
      <c r="U7" s="10"/>
      <c r="V7" s="27"/>
      <c r="W7" s="12"/>
      <c r="X7" s="10"/>
      <c r="Y7" s="11" t="s">
        <v>33</v>
      </c>
      <c r="Z7" s="18" t="s">
        <v>493</v>
      </c>
      <c r="AA7" s="12" t="s">
        <v>37</v>
      </c>
      <c r="AB7" s="10"/>
      <c r="AC7" s="11" t="s">
        <v>35</v>
      </c>
    </row>
    <row r="8" ht="22.5" customHeight="1">
      <c r="A8" s="30">
        <v>7.0</v>
      </c>
      <c r="B8" s="53">
        <v>1.0</v>
      </c>
      <c r="C8" s="30" t="s">
        <v>494</v>
      </c>
      <c r="D8" s="22" t="s">
        <v>45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0.6666666667</v>
      </c>
      <c r="G8" s="18" t="s">
        <v>495</v>
      </c>
      <c r="H8" s="36" t="s">
        <v>156</v>
      </c>
      <c r="I8" s="10"/>
      <c r="J8" s="11" t="s">
        <v>33</v>
      </c>
      <c r="K8" s="12" t="s">
        <v>34</v>
      </c>
      <c r="L8" s="10"/>
      <c r="M8" s="11" t="s">
        <v>35</v>
      </c>
      <c r="N8" s="12"/>
      <c r="O8" s="10"/>
      <c r="P8" s="27"/>
      <c r="Q8" s="14"/>
      <c r="R8" s="10"/>
      <c r="S8" s="27"/>
      <c r="T8" s="12"/>
      <c r="U8" s="10"/>
      <c r="V8" s="27"/>
      <c r="W8" s="12"/>
      <c r="X8" s="10"/>
      <c r="Y8" s="11" t="s">
        <v>33</v>
      </c>
      <c r="Z8" s="20" t="s">
        <v>496</v>
      </c>
      <c r="AA8" s="12" t="s">
        <v>37</v>
      </c>
      <c r="AB8" s="10"/>
      <c r="AC8" s="11" t="s">
        <v>35</v>
      </c>
    </row>
    <row r="9" ht="22.5" customHeight="1">
      <c r="A9" s="30">
        <v>7.0</v>
      </c>
      <c r="B9" s="54">
        <v>1.0</v>
      </c>
      <c r="C9" s="33" t="s">
        <v>497</v>
      </c>
      <c r="D9" s="21" t="s">
        <v>45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0.6666666667</v>
      </c>
      <c r="G9" s="24" t="s">
        <v>498</v>
      </c>
      <c r="H9" s="36" t="s">
        <v>156</v>
      </c>
      <c r="I9" s="10"/>
      <c r="J9" s="11" t="s">
        <v>33</v>
      </c>
      <c r="K9" s="12" t="s">
        <v>34</v>
      </c>
      <c r="L9" s="10"/>
      <c r="M9" s="11" t="s">
        <v>35</v>
      </c>
      <c r="N9" s="12"/>
      <c r="O9" s="10"/>
      <c r="P9" s="27"/>
      <c r="Q9" s="14"/>
      <c r="R9" s="10"/>
      <c r="S9" s="27"/>
      <c r="T9" s="12"/>
      <c r="U9" s="10"/>
      <c r="V9" s="27"/>
      <c r="W9" s="12"/>
      <c r="X9" s="10"/>
      <c r="Y9" s="11" t="s">
        <v>33</v>
      </c>
      <c r="Z9" s="24" t="s">
        <v>499</v>
      </c>
      <c r="AA9" s="12" t="s">
        <v>37</v>
      </c>
      <c r="AB9" s="10"/>
      <c r="AC9" s="11" t="s">
        <v>35</v>
      </c>
    </row>
    <row r="10" ht="22.5" customHeight="1">
      <c r="A10" s="30">
        <v>7.0</v>
      </c>
      <c r="B10" s="53">
        <v>1.0</v>
      </c>
      <c r="C10" s="30" t="s">
        <v>500</v>
      </c>
      <c r="D10" s="22" t="s">
        <v>56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0.3333333333</v>
      </c>
      <c r="G10" s="20" t="s">
        <v>501</v>
      </c>
      <c r="H10" s="36" t="s">
        <v>156</v>
      </c>
      <c r="I10" s="10"/>
      <c r="J10" s="11" t="s">
        <v>33</v>
      </c>
      <c r="K10" s="12" t="s">
        <v>34</v>
      </c>
      <c r="L10" s="10"/>
      <c r="M10" s="11" t="s">
        <v>35</v>
      </c>
      <c r="N10" s="12"/>
      <c r="O10" s="10"/>
      <c r="P10" s="27"/>
      <c r="Q10" s="14"/>
      <c r="R10" s="10"/>
      <c r="S10" s="27"/>
      <c r="T10" s="12"/>
      <c r="U10" s="10"/>
      <c r="V10" s="27"/>
      <c r="W10" s="12"/>
      <c r="X10" s="10"/>
      <c r="Y10" s="27"/>
      <c r="Z10" s="56"/>
      <c r="AA10" s="12" t="s">
        <v>37</v>
      </c>
      <c r="AB10" s="10"/>
      <c r="AC10" s="27"/>
    </row>
    <row r="11" ht="22.5" customHeight="1">
      <c r="A11" s="30">
        <v>7.0</v>
      </c>
      <c r="B11" s="54">
        <v>1.0</v>
      </c>
      <c r="C11" s="33" t="s">
        <v>502</v>
      </c>
      <c r="D11" s="21" t="s">
        <v>60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0.3333333333</v>
      </c>
      <c r="G11" s="20" t="s">
        <v>503</v>
      </c>
      <c r="H11" s="36" t="s">
        <v>156</v>
      </c>
      <c r="I11" s="10"/>
      <c r="J11" s="11" t="s">
        <v>33</v>
      </c>
      <c r="K11" s="12" t="s">
        <v>34</v>
      </c>
      <c r="L11" s="10"/>
      <c r="M11" s="11" t="s">
        <v>35</v>
      </c>
      <c r="N11" s="12"/>
      <c r="O11" s="10"/>
      <c r="P11" s="27"/>
      <c r="Q11" s="14"/>
      <c r="R11" s="10"/>
      <c r="S11" s="27"/>
      <c r="T11" s="12"/>
      <c r="U11" s="10"/>
      <c r="V11" s="27"/>
      <c r="W11" s="12"/>
      <c r="X11" s="10"/>
      <c r="Y11" s="27"/>
      <c r="Z11" s="56"/>
      <c r="AA11" s="12" t="s">
        <v>37</v>
      </c>
      <c r="AB11" s="10"/>
      <c r="AC11" s="27"/>
    </row>
    <row r="12" ht="22.5" customHeight="1">
      <c r="A12" s="30">
        <v>7.0</v>
      </c>
      <c r="B12" s="53">
        <v>1.0</v>
      </c>
      <c r="C12" s="30" t="s">
        <v>504</v>
      </c>
      <c r="D12" s="22" t="s">
        <v>149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0.3333333333</v>
      </c>
      <c r="G12" s="57"/>
      <c r="H12" s="36" t="s">
        <v>156</v>
      </c>
      <c r="I12" s="10"/>
      <c r="J12" s="11" t="s">
        <v>33</v>
      </c>
      <c r="K12" s="12" t="s">
        <v>34</v>
      </c>
      <c r="L12" s="10"/>
      <c r="M12" s="11" t="s">
        <v>35</v>
      </c>
      <c r="N12" s="12"/>
      <c r="O12" s="10"/>
      <c r="P12" s="27"/>
      <c r="Q12" s="14"/>
      <c r="R12" s="10"/>
      <c r="S12" s="27"/>
      <c r="T12" s="12"/>
      <c r="U12" s="10"/>
      <c r="V12" s="27"/>
      <c r="W12" s="12"/>
      <c r="X12" s="10"/>
      <c r="Y12" s="27"/>
      <c r="Z12" s="37"/>
      <c r="AA12" s="12" t="s">
        <v>37</v>
      </c>
      <c r="AB12" s="10"/>
      <c r="AC12" s="27"/>
    </row>
    <row r="13" ht="22.5" customHeight="1">
      <c r="A13" s="30">
        <v>7.0</v>
      </c>
      <c r="B13" s="53">
        <v>1.0</v>
      </c>
      <c r="C13" s="30" t="s">
        <v>505</v>
      </c>
      <c r="D13" s="22" t="s">
        <v>64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0.3333333333</v>
      </c>
      <c r="G13" s="18" t="s">
        <v>506</v>
      </c>
      <c r="H13" s="36" t="s">
        <v>156</v>
      </c>
      <c r="I13" s="10"/>
      <c r="J13" s="11" t="s">
        <v>33</v>
      </c>
      <c r="K13" s="12" t="s">
        <v>34</v>
      </c>
      <c r="L13" s="10"/>
      <c r="M13" s="11" t="s">
        <v>35</v>
      </c>
      <c r="N13" s="12"/>
      <c r="O13" s="10"/>
      <c r="P13" s="27"/>
      <c r="Q13" s="14"/>
      <c r="R13" s="10"/>
      <c r="S13" s="27"/>
      <c r="T13" s="12"/>
      <c r="U13" s="10"/>
      <c r="V13" s="27"/>
      <c r="W13" s="12"/>
      <c r="X13" s="10"/>
      <c r="Y13" s="27"/>
      <c r="Z13" s="37"/>
      <c r="AA13" s="12" t="s">
        <v>37</v>
      </c>
      <c r="AB13" s="10"/>
      <c r="AC13" s="27"/>
    </row>
    <row r="14" ht="22.5" customHeight="1">
      <c r="A14" s="30">
        <v>7.0</v>
      </c>
      <c r="B14" s="54">
        <v>2.0</v>
      </c>
      <c r="C14" s="33" t="s">
        <v>507</v>
      </c>
      <c r="D14" s="21" t="s">
        <v>30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0.3333333333</v>
      </c>
      <c r="G14" s="18" t="s">
        <v>508</v>
      </c>
      <c r="H14" s="36" t="s">
        <v>156</v>
      </c>
      <c r="I14" s="10"/>
      <c r="J14" s="11" t="s">
        <v>33</v>
      </c>
      <c r="K14" s="12" t="s">
        <v>34</v>
      </c>
      <c r="L14" s="10"/>
      <c r="M14" s="11" t="s">
        <v>35</v>
      </c>
      <c r="N14" s="12"/>
      <c r="O14" s="10"/>
      <c r="P14" s="27"/>
      <c r="Q14" s="14"/>
      <c r="R14" s="10"/>
      <c r="S14" s="27"/>
      <c r="T14" s="12"/>
      <c r="U14" s="10"/>
      <c r="V14" s="27"/>
      <c r="W14" s="12"/>
      <c r="X14" s="10"/>
      <c r="Y14" s="27"/>
      <c r="Z14" s="37"/>
      <c r="AA14" s="12" t="s">
        <v>37</v>
      </c>
      <c r="AB14" s="10"/>
      <c r="AC14" s="27"/>
    </row>
    <row r="15" ht="22.5" customHeight="1">
      <c r="A15" s="30">
        <v>7.0</v>
      </c>
      <c r="B15" s="53">
        <v>2.0</v>
      </c>
      <c r="C15" s="30" t="s">
        <v>509</v>
      </c>
      <c r="D15" s="22" t="s">
        <v>30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0.3333333333</v>
      </c>
      <c r="G15" s="23" t="s">
        <v>510</v>
      </c>
      <c r="H15" s="36" t="s">
        <v>156</v>
      </c>
      <c r="I15" s="10"/>
      <c r="J15" s="11" t="s">
        <v>33</v>
      </c>
      <c r="K15" s="12" t="s">
        <v>34</v>
      </c>
      <c r="L15" s="10"/>
      <c r="M15" s="11" t="s">
        <v>35</v>
      </c>
      <c r="N15" s="12"/>
      <c r="O15" s="10"/>
      <c r="P15" s="27"/>
      <c r="Q15" s="14"/>
      <c r="R15" s="10"/>
      <c r="S15" s="27"/>
      <c r="T15" s="12"/>
      <c r="U15" s="10"/>
      <c r="V15" s="27"/>
      <c r="W15" s="12"/>
      <c r="X15" s="10"/>
      <c r="Y15" s="27"/>
      <c r="Z15" s="37"/>
      <c r="AA15" s="12" t="s">
        <v>37</v>
      </c>
      <c r="AB15" s="10"/>
      <c r="AC15" s="27"/>
    </row>
    <row r="16" ht="22.5" customHeight="1">
      <c r="A16" s="30">
        <v>7.0</v>
      </c>
      <c r="B16" s="54">
        <v>2.0</v>
      </c>
      <c r="C16" s="33" t="s">
        <v>511</v>
      </c>
      <c r="D16" s="21" t="s">
        <v>30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0.3333333333</v>
      </c>
      <c r="G16" s="18" t="s">
        <v>512</v>
      </c>
      <c r="H16" s="36" t="s">
        <v>156</v>
      </c>
      <c r="I16" s="10"/>
      <c r="J16" s="11" t="s">
        <v>33</v>
      </c>
      <c r="K16" s="12" t="s">
        <v>34</v>
      </c>
      <c r="L16" s="10"/>
      <c r="M16" s="11" t="s">
        <v>35</v>
      </c>
      <c r="N16" s="12"/>
      <c r="O16" s="10"/>
      <c r="P16" s="27"/>
      <c r="Q16" s="14"/>
      <c r="R16" s="10"/>
      <c r="S16" s="27"/>
      <c r="T16" s="12"/>
      <c r="U16" s="10"/>
      <c r="V16" s="27"/>
      <c r="W16" s="12"/>
      <c r="X16" s="10"/>
      <c r="Y16" s="27"/>
      <c r="Z16" s="37"/>
      <c r="AA16" s="12" t="s">
        <v>37</v>
      </c>
      <c r="AB16" s="10"/>
      <c r="AC16" s="27"/>
    </row>
    <row r="17" ht="22.5" customHeight="1">
      <c r="A17" s="30">
        <v>7.0</v>
      </c>
      <c r="B17" s="53">
        <v>2.0</v>
      </c>
      <c r="C17" s="30" t="s">
        <v>513</v>
      </c>
      <c r="D17" s="22" t="s">
        <v>45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0.6666666667</v>
      </c>
      <c r="G17" s="18" t="s">
        <v>514</v>
      </c>
      <c r="H17" s="36" t="s">
        <v>156</v>
      </c>
      <c r="I17" s="10"/>
      <c r="J17" s="11" t="s">
        <v>33</v>
      </c>
      <c r="K17" s="12" t="s">
        <v>34</v>
      </c>
      <c r="L17" s="10"/>
      <c r="M17" s="11" t="s">
        <v>35</v>
      </c>
      <c r="N17" s="12"/>
      <c r="O17" s="10"/>
      <c r="P17" s="27"/>
      <c r="Q17" s="14"/>
      <c r="R17" s="10"/>
      <c r="S17" s="27"/>
      <c r="T17" s="12"/>
      <c r="U17" s="10"/>
      <c r="V17" s="27"/>
      <c r="W17" s="12"/>
      <c r="X17" s="10"/>
      <c r="Y17" s="11" t="s">
        <v>33</v>
      </c>
      <c r="Z17" s="18" t="s">
        <v>515</v>
      </c>
      <c r="AA17" s="12" t="s">
        <v>37</v>
      </c>
      <c r="AB17" s="10"/>
      <c r="AC17" s="11" t="s">
        <v>35</v>
      </c>
    </row>
    <row r="18" ht="22.5" customHeight="1">
      <c r="A18" s="30">
        <v>7.0</v>
      </c>
      <c r="B18" s="54">
        <v>2.0</v>
      </c>
      <c r="C18" s="33" t="s">
        <v>516</v>
      </c>
      <c r="D18" s="21" t="s">
        <v>45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0.6666666667</v>
      </c>
      <c r="G18" s="18" t="s">
        <v>517</v>
      </c>
      <c r="H18" s="36" t="s">
        <v>156</v>
      </c>
      <c r="I18" s="10"/>
      <c r="J18" s="11" t="s">
        <v>33</v>
      </c>
      <c r="K18" s="12" t="s">
        <v>34</v>
      </c>
      <c r="L18" s="10"/>
      <c r="M18" s="11" t="s">
        <v>35</v>
      </c>
      <c r="N18" s="12"/>
      <c r="O18" s="10"/>
      <c r="P18" s="27"/>
      <c r="Q18" s="14"/>
      <c r="R18" s="10"/>
      <c r="S18" s="27"/>
      <c r="T18" s="12"/>
      <c r="U18" s="10"/>
      <c r="V18" s="27"/>
      <c r="W18" s="12"/>
      <c r="X18" s="10"/>
      <c r="Y18" s="11" t="s">
        <v>33</v>
      </c>
      <c r="Z18" s="18" t="s">
        <v>518</v>
      </c>
      <c r="AA18" s="12" t="s">
        <v>37</v>
      </c>
      <c r="AB18" s="10"/>
      <c r="AC18" s="11" t="s">
        <v>35</v>
      </c>
    </row>
    <row r="19" ht="22.5" customHeight="1">
      <c r="A19" s="30">
        <v>7.0</v>
      </c>
      <c r="B19" s="53">
        <v>2.0</v>
      </c>
      <c r="C19" s="30" t="s">
        <v>519</v>
      </c>
      <c r="D19" s="22" t="s">
        <v>45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0.6666666667</v>
      </c>
      <c r="G19" s="18" t="s">
        <v>520</v>
      </c>
      <c r="H19" s="36" t="s">
        <v>156</v>
      </c>
      <c r="I19" s="10"/>
      <c r="J19" s="11" t="s">
        <v>33</v>
      </c>
      <c r="K19" s="12" t="s">
        <v>34</v>
      </c>
      <c r="L19" s="10"/>
      <c r="M19" s="11"/>
      <c r="N19" s="12"/>
      <c r="O19" s="10"/>
      <c r="P19" s="27"/>
      <c r="Q19" s="14"/>
      <c r="R19" s="10"/>
      <c r="S19" s="27"/>
      <c r="T19" s="12"/>
      <c r="U19" s="10"/>
      <c r="V19" s="27"/>
      <c r="W19" s="12"/>
      <c r="X19" s="10"/>
      <c r="Y19" s="11" t="s">
        <v>33</v>
      </c>
      <c r="Z19" s="18" t="s">
        <v>521</v>
      </c>
      <c r="AA19" s="12" t="s">
        <v>37</v>
      </c>
      <c r="AB19" s="10"/>
      <c r="AC19" s="11" t="s">
        <v>35</v>
      </c>
    </row>
    <row r="20" ht="22.5" customHeight="1">
      <c r="A20" s="30">
        <v>7.0</v>
      </c>
      <c r="B20" s="54">
        <v>2.0</v>
      </c>
      <c r="C20" s="33" t="s">
        <v>522</v>
      </c>
      <c r="D20" s="21" t="s">
        <v>56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0.3333333333</v>
      </c>
      <c r="G20" s="18" t="s">
        <v>523</v>
      </c>
      <c r="H20" s="36" t="s">
        <v>156</v>
      </c>
      <c r="I20" s="10"/>
      <c r="J20" s="11" t="s">
        <v>33</v>
      </c>
      <c r="K20" s="12" t="s">
        <v>34</v>
      </c>
      <c r="L20" s="10"/>
      <c r="M20" s="11" t="s">
        <v>35</v>
      </c>
      <c r="N20" s="12"/>
      <c r="O20" s="10"/>
      <c r="P20" s="27"/>
      <c r="Q20" s="14"/>
      <c r="R20" s="10"/>
      <c r="S20" s="27"/>
      <c r="T20" s="12"/>
      <c r="U20" s="10"/>
      <c r="V20" s="27"/>
      <c r="W20" s="12"/>
      <c r="X20" s="10"/>
      <c r="Y20" s="27"/>
      <c r="Z20" s="37"/>
      <c r="AA20" s="12" t="s">
        <v>37</v>
      </c>
      <c r="AB20" s="10"/>
      <c r="AC20" s="27"/>
    </row>
    <row r="21" ht="22.5" customHeight="1">
      <c r="A21" s="30">
        <v>7.0</v>
      </c>
      <c r="B21" s="53">
        <v>2.0</v>
      </c>
      <c r="C21" s="30" t="s">
        <v>524</v>
      </c>
      <c r="D21" s="22" t="s">
        <v>60</v>
      </c>
      <c r="E21" s="7" t="str">
        <f>IFERROR(__xludf.DUMMYFUNCTION("IF(AND(F21 &gt; 0.3, F21 &lt; 0.5), SPARKLINE(F21,{""charttype"",""bar"";""color1"",""Gold"";""max"",1}),
IF(F21 = 1, SPARKLINE(F21,{""charttype"",""bar"";""color1"",""Lime"";""max"",1}),
IF(F21 &gt;= 0.5, SPARKLINE(F21,{""charttype"",""bar"";""color1"",""GreenYel"&amp;"low"";""max"",1}),
SPARKLINE(F21,{""charttype"",""bar"";""color1"",""DarkOrange"";""max"",1}))))"),"")</f>
        <v/>
      </c>
      <c r="F21" s="8">
        <f t="shared" si="1"/>
        <v>0.3333333333</v>
      </c>
      <c r="G21" s="18" t="s">
        <v>525</v>
      </c>
      <c r="H21" s="36" t="s">
        <v>156</v>
      </c>
      <c r="I21" s="10"/>
      <c r="J21" s="11" t="s">
        <v>33</v>
      </c>
      <c r="K21" s="12" t="s">
        <v>34</v>
      </c>
      <c r="L21" s="10"/>
      <c r="M21" s="11" t="s">
        <v>35</v>
      </c>
      <c r="N21" s="12"/>
      <c r="O21" s="10"/>
      <c r="P21" s="27"/>
      <c r="Q21" s="14"/>
      <c r="R21" s="10"/>
      <c r="S21" s="27"/>
      <c r="T21" s="12"/>
      <c r="U21" s="10"/>
      <c r="V21" s="27"/>
      <c r="W21" s="12"/>
      <c r="X21" s="10"/>
      <c r="Y21" s="27"/>
      <c r="Z21" s="37"/>
      <c r="AA21" s="12" t="s">
        <v>37</v>
      </c>
      <c r="AB21" s="10"/>
      <c r="AC21" s="27"/>
    </row>
    <row r="22" ht="22.5" customHeight="1">
      <c r="A22" s="30">
        <v>7.0</v>
      </c>
      <c r="B22" s="54">
        <v>2.0</v>
      </c>
      <c r="C22" s="33" t="s">
        <v>526</v>
      </c>
      <c r="D22" s="21" t="s">
        <v>149</v>
      </c>
      <c r="E22" s="7" t="str">
        <f>IFERROR(__xludf.DUMMYFUNCTION("IF(AND(F22 &gt; 0.3, F22 &lt; 0.5), SPARKLINE(F22,{""charttype"",""bar"";""color1"",""Gold"";""max"",1}),
IF(F22 = 1, SPARKLINE(F22,{""charttype"",""bar"";""color1"",""Lime"";""max"",1}),
IF(F22 &gt;= 0.5, SPARKLINE(F22,{""charttype"",""bar"";""color1"",""GreenYel"&amp;"low"";""max"",1}),
SPARKLINE(F22,{""charttype"",""bar"";""color1"",""DarkOrange"";""max"",1}))))"),"")</f>
        <v/>
      </c>
      <c r="F22" s="8">
        <f t="shared" si="1"/>
        <v>0.3333333333</v>
      </c>
      <c r="G22" s="37"/>
      <c r="H22" s="36" t="s">
        <v>156</v>
      </c>
      <c r="I22" s="10"/>
      <c r="J22" s="11" t="s">
        <v>33</v>
      </c>
      <c r="K22" s="12" t="s">
        <v>34</v>
      </c>
      <c r="L22" s="10"/>
      <c r="M22" s="11" t="s">
        <v>35</v>
      </c>
      <c r="N22" s="12"/>
      <c r="O22" s="10"/>
      <c r="P22" s="27"/>
      <c r="Q22" s="14"/>
      <c r="R22" s="10"/>
      <c r="S22" s="27"/>
      <c r="T22" s="12"/>
      <c r="U22" s="10"/>
      <c r="V22" s="27"/>
      <c r="W22" s="12"/>
      <c r="X22" s="10"/>
      <c r="Y22" s="27"/>
      <c r="Z22" s="37"/>
      <c r="AA22" s="12" t="s">
        <v>37</v>
      </c>
      <c r="AB22" s="10"/>
      <c r="AC22" s="27"/>
    </row>
    <row r="23" ht="22.5" customHeight="1">
      <c r="A23" s="30">
        <v>7.0</v>
      </c>
      <c r="B23" s="54">
        <v>2.0</v>
      </c>
      <c r="C23" s="33" t="s">
        <v>527</v>
      </c>
      <c r="D23" s="21" t="s">
        <v>64</v>
      </c>
      <c r="E23" s="7" t="str">
        <f>IFERROR(__xludf.DUMMYFUNCTION("IF(AND(F23 &gt; 0.3, F23 &lt; 0.5), SPARKLINE(F23,{""charttype"",""bar"";""color1"",""Gold"";""max"",1}),
IF(F23 = 1, SPARKLINE(F23,{""charttype"",""bar"";""color1"",""Lime"";""max"",1}),
IF(F23 &gt;= 0.5, SPARKLINE(F23,{""charttype"",""bar"";""color1"",""GreenYel"&amp;"low"";""max"",1}),
SPARKLINE(F23,{""charttype"",""bar"";""color1"",""DarkOrange"";""max"",1}))))"),"")</f>
        <v/>
      </c>
      <c r="F23" s="8">
        <f t="shared" si="1"/>
        <v>0.3333333333</v>
      </c>
      <c r="G23" s="18" t="s">
        <v>528</v>
      </c>
      <c r="H23" s="36" t="s">
        <v>156</v>
      </c>
      <c r="I23" s="10"/>
      <c r="J23" s="11" t="s">
        <v>33</v>
      </c>
      <c r="K23" s="12" t="s">
        <v>34</v>
      </c>
      <c r="L23" s="10"/>
      <c r="M23" s="11" t="s">
        <v>35</v>
      </c>
      <c r="N23" s="12"/>
      <c r="O23" s="10"/>
      <c r="P23" s="27"/>
      <c r="Q23" s="14"/>
      <c r="R23" s="10"/>
      <c r="S23" s="27"/>
      <c r="T23" s="12"/>
      <c r="U23" s="10"/>
      <c r="V23" s="27"/>
      <c r="W23" s="12"/>
      <c r="X23" s="10"/>
      <c r="Y23" s="27"/>
      <c r="Z23" s="37"/>
      <c r="AA23" s="12" t="s">
        <v>37</v>
      </c>
      <c r="AB23" s="10"/>
      <c r="AC23" s="27"/>
    </row>
    <row r="24" ht="22.5" customHeight="1">
      <c r="A24" s="30">
        <v>7.0</v>
      </c>
      <c r="B24" s="53">
        <v>3.0</v>
      </c>
      <c r="C24" s="30" t="s">
        <v>529</v>
      </c>
      <c r="D24" s="22" t="s">
        <v>30</v>
      </c>
      <c r="E24" s="7" t="str">
        <f>IFERROR(__xludf.DUMMYFUNCTION("IF(AND(F24 &gt; 0.3, F24 &lt; 0.5), SPARKLINE(F24,{""charttype"",""bar"";""color1"",""Gold"";""max"",1}),
IF(F24 = 1, SPARKLINE(F24,{""charttype"",""bar"";""color1"",""Lime"";""max"",1}),
IF(F24 &gt;= 0.5, SPARKLINE(F24,{""charttype"",""bar"";""color1"",""GreenYel"&amp;"low"";""max"",1}),
SPARKLINE(F24,{""charttype"",""bar"";""color1"",""DarkOrange"";""max"",1}))))"),"")</f>
        <v/>
      </c>
      <c r="F24" s="8">
        <f t="shared" si="1"/>
        <v>0.3333333333</v>
      </c>
      <c r="G24" s="18" t="s">
        <v>530</v>
      </c>
      <c r="H24" s="36" t="s">
        <v>156</v>
      </c>
      <c r="I24" s="10"/>
      <c r="J24" s="11" t="s">
        <v>33</v>
      </c>
      <c r="K24" s="12" t="s">
        <v>34</v>
      </c>
      <c r="L24" s="10"/>
      <c r="M24" s="11" t="s">
        <v>35</v>
      </c>
      <c r="N24" s="12"/>
      <c r="O24" s="10"/>
      <c r="P24" s="27"/>
      <c r="Q24" s="14"/>
      <c r="R24" s="10"/>
      <c r="S24" s="27"/>
      <c r="T24" s="12"/>
      <c r="U24" s="10"/>
      <c r="V24" s="27"/>
      <c r="W24" s="12"/>
      <c r="X24" s="10"/>
      <c r="Y24" s="27"/>
      <c r="Z24" s="37"/>
      <c r="AA24" s="12" t="s">
        <v>37</v>
      </c>
      <c r="AB24" s="10"/>
      <c r="AC24" s="27"/>
    </row>
    <row r="25" ht="22.5" customHeight="1">
      <c r="A25" s="30">
        <v>7.0</v>
      </c>
      <c r="B25" s="54">
        <v>3.0</v>
      </c>
      <c r="C25" s="33" t="s">
        <v>531</v>
      </c>
      <c r="D25" s="21" t="s">
        <v>30</v>
      </c>
      <c r="E25" s="7" t="str">
        <f>IFERROR(__xludf.DUMMYFUNCTION("IF(AND(F25 &gt; 0.3, F25 &lt; 0.5), SPARKLINE(F25,{""charttype"",""bar"";""color1"",""Gold"";""max"",1}),
IF(F25 = 1, SPARKLINE(F25,{""charttype"",""bar"";""color1"",""Lime"";""max"",1}),
IF(F25 &gt;= 0.5, SPARKLINE(F25,{""charttype"",""bar"";""color1"",""GreenYel"&amp;"low"";""max"",1}),
SPARKLINE(F25,{""charttype"",""bar"";""color1"",""DarkOrange"";""max"",1}))))"),"")</f>
        <v/>
      </c>
      <c r="F25" s="8">
        <f t="shared" si="1"/>
        <v>0.3333333333</v>
      </c>
      <c r="G25" s="18" t="s">
        <v>532</v>
      </c>
      <c r="H25" s="36" t="s">
        <v>156</v>
      </c>
      <c r="I25" s="10"/>
      <c r="J25" s="11" t="s">
        <v>33</v>
      </c>
      <c r="K25" s="12" t="s">
        <v>34</v>
      </c>
      <c r="L25" s="10"/>
      <c r="M25" s="11" t="s">
        <v>35</v>
      </c>
      <c r="N25" s="12"/>
      <c r="O25" s="10"/>
      <c r="P25" s="27"/>
      <c r="Q25" s="14"/>
      <c r="R25" s="10"/>
      <c r="S25" s="27"/>
      <c r="T25" s="12"/>
      <c r="U25" s="10"/>
      <c r="V25" s="27"/>
      <c r="W25" s="12"/>
      <c r="X25" s="10"/>
      <c r="Y25" s="27"/>
      <c r="Z25" s="37"/>
      <c r="AA25" s="12" t="s">
        <v>37</v>
      </c>
      <c r="AB25" s="10"/>
      <c r="AC25" s="27"/>
    </row>
    <row r="26" ht="22.5" customHeight="1">
      <c r="A26" s="30">
        <v>7.0</v>
      </c>
      <c r="B26" s="53">
        <v>3.0</v>
      </c>
      <c r="C26" s="30" t="s">
        <v>533</v>
      </c>
      <c r="D26" s="22" t="s">
        <v>30</v>
      </c>
      <c r="E26" s="7" t="str">
        <f>IFERROR(__xludf.DUMMYFUNCTION("IF(AND(F26 &gt; 0.3, F26 &lt; 0.5), SPARKLINE(F26,{""charttype"",""bar"";""color1"",""Gold"";""max"",1}),
IF(F26 = 1, SPARKLINE(F26,{""charttype"",""bar"";""color1"",""Lime"";""max"",1}),
IF(F26 &gt;= 0.5, SPARKLINE(F26,{""charttype"",""bar"";""color1"",""GreenYel"&amp;"low"";""max"",1}),
SPARKLINE(F26,{""charttype"",""bar"";""color1"",""DarkOrange"";""max"",1}))))"),"")</f>
        <v/>
      </c>
      <c r="F26" s="8">
        <f t="shared" si="1"/>
        <v>0.3333333333</v>
      </c>
      <c r="G26" s="18" t="s">
        <v>534</v>
      </c>
      <c r="H26" s="36" t="s">
        <v>156</v>
      </c>
      <c r="I26" s="10"/>
      <c r="J26" s="11" t="s">
        <v>33</v>
      </c>
      <c r="K26" s="12" t="s">
        <v>34</v>
      </c>
      <c r="L26" s="10"/>
      <c r="M26" s="11" t="s">
        <v>35</v>
      </c>
      <c r="N26" s="12"/>
      <c r="O26" s="10"/>
      <c r="P26" s="27"/>
      <c r="Q26" s="14"/>
      <c r="R26" s="10"/>
      <c r="S26" s="27"/>
      <c r="T26" s="12"/>
      <c r="U26" s="10"/>
      <c r="V26" s="27"/>
      <c r="W26" s="12"/>
      <c r="X26" s="10"/>
      <c r="Y26" s="27"/>
      <c r="Z26" s="37"/>
      <c r="AA26" s="12" t="s">
        <v>37</v>
      </c>
      <c r="AB26" s="10"/>
      <c r="AC26" s="27"/>
    </row>
    <row r="27" ht="22.5" customHeight="1">
      <c r="A27" s="30">
        <v>7.0</v>
      </c>
      <c r="B27" s="54">
        <v>3.0</v>
      </c>
      <c r="C27" s="33" t="s">
        <v>535</v>
      </c>
      <c r="D27" s="21" t="s">
        <v>45</v>
      </c>
      <c r="E27" s="7" t="str">
        <f>IFERROR(__xludf.DUMMYFUNCTION("IF(AND(F27 &gt; 0.3, F27 &lt; 0.5), SPARKLINE(F27,{""charttype"",""bar"";""color1"",""Gold"";""max"",1}),
IF(F27 = 1, SPARKLINE(F27,{""charttype"",""bar"";""color1"",""Lime"";""max"",1}),
IF(F27 &gt;= 0.5, SPARKLINE(F27,{""charttype"",""bar"";""color1"",""GreenYel"&amp;"low"";""max"",1}),
SPARKLINE(F27,{""charttype"",""bar"";""color1"",""DarkOrange"";""max"",1}))))"),"")</f>
        <v/>
      </c>
      <c r="F27" s="8">
        <f t="shared" si="1"/>
        <v>0.6666666667</v>
      </c>
      <c r="G27" s="18" t="s">
        <v>536</v>
      </c>
      <c r="H27" s="36" t="s">
        <v>156</v>
      </c>
      <c r="I27" s="10"/>
      <c r="J27" s="11" t="s">
        <v>33</v>
      </c>
      <c r="K27" s="12" t="s">
        <v>34</v>
      </c>
      <c r="L27" s="10"/>
      <c r="M27" s="11" t="s">
        <v>35</v>
      </c>
      <c r="N27" s="12"/>
      <c r="O27" s="10"/>
      <c r="P27" s="27"/>
      <c r="Q27" s="14"/>
      <c r="R27" s="10"/>
      <c r="S27" s="27"/>
      <c r="T27" s="12"/>
      <c r="U27" s="10"/>
      <c r="V27" s="27"/>
      <c r="W27" s="12"/>
      <c r="X27" s="10"/>
      <c r="Y27" s="11" t="s">
        <v>33</v>
      </c>
      <c r="Z27" s="18" t="s">
        <v>537</v>
      </c>
      <c r="AA27" s="12" t="s">
        <v>37</v>
      </c>
      <c r="AB27" s="10"/>
      <c r="AC27" s="11" t="s">
        <v>35</v>
      </c>
    </row>
    <row r="28" ht="22.5" customHeight="1">
      <c r="A28" s="30">
        <v>7.0</v>
      </c>
      <c r="B28" s="53">
        <v>3.0</v>
      </c>
      <c r="C28" s="30" t="s">
        <v>538</v>
      </c>
      <c r="D28" s="22" t="s">
        <v>45</v>
      </c>
      <c r="E28" s="7" t="str">
        <f>IFERROR(__xludf.DUMMYFUNCTION("IF(AND(F28 &gt; 0.3, F28 &lt; 0.5), SPARKLINE(F28,{""charttype"",""bar"";""color1"",""Gold"";""max"",1}),
IF(F28 = 1, SPARKLINE(F28,{""charttype"",""bar"";""color1"",""Lime"";""max"",1}),
IF(F28 &gt;= 0.5, SPARKLINE(F28,{""charttype"",""bar"";""color1"",""GreenYel"&amp;"low"";""max"",1}),
SPARKLINE(F28,{""charttype"",""bar"";""color1"",""DarkOrange"";""max"",1}))))"),"")</f>
        <v/>
      </c>
      <c r="F28" s="8">
        <f t="shared" si="1"/>
        <v>0.6666666667</v>
      </c>
      <c r="G28" s="18" t="s">
        <v>539</v>
      </c>
      <c r="H28" s="36" t="s">
        <v>156</v>
      </c>
      <c r="I28" s="10"/>
      <c r="J28" s="11" t="s">
        <v>33</v>
      </c>
      <c r="K28" s="12" t="s">
        <v>34</v>
      </c>
      <c r="L28" s="10"/>
      <c r="M28" s="11" t="s">
        <v>35</v>
      </c>
      <c r="N28" s="12"/>
      <c r="O28" s="10"/>
      <c r="P28" s="27"/>
      <c r="Q28" s="14"/>
      <c r="R28" s="10"/>
      <c r="S28" s="27"/>
      <c r="T28" s="12"/>
      <c r="U28" s="10"/>
      <c r="V28" s="27"/>
      <c r="W28" s="12"/>
      <c r="X28" s="10"/>
      <c r="Y28" s="11" t="s">
        <v>33</v>
      </c>
      <c r="Z28" s="18" t="s">
        <v>540</v>
      </c>
      <c r="AA28" s="12" t="s">
        <v>37</v>
      </c>
      <c r="AB28" s="10"/>
      <c r="AC28" s="11" t="s">
        <v>35</v>
      </c>
    </row>
    <row r="29" ht="22.5" customHeight="1">
      <c r="A29" s="30">
        <v>7.0</v>
      </c>
      <c r="B29" s="54">
        <v>3.0</v>
      </c>
      <c r="C29" s="33" t="s">
        <v>541</v>
      </c>
      <c r="D29" s="21" t="s">
        <v>45</v>
      </c>
      <c r="E29" s="7" t="str">
        <f>IFERROR(__xludf.DUMMYFUNCTION("IF(AND(F29 &gt; 0.3, F29 &lt; 0.5), SPARKLINE(F29,{""charttype"",""bar"";""color1"",""Gold"";""max"",1}),
IF(F29 = 1, SPARKLINE(F29,{""charttype"",""bar"";""color1"",""Lime"";""max"",1}),
IF(F29 &gt;= 0.5, SPARKLINE(F29,{""charttype"",""bar"";""color1"",""GreenYel"&amp;"low"";""max"",1}),
SPARKLINE(F29,{""charttype"",""bar"";""color1"",""DarkOrange"";""max"",1}))))"),"")</f>
        <v/>
      </c>
      <c r="F29" s="8">
        <f t="shared" si="1"/>
        <v>0.3333333333</v>
      </c>
      <c r="G29" s="23" t="s">
        <v>542</v>
      </c>
      <c r="H29" s="36" t="s">
        <v>156</v>
      </c>
      <c r="I29" s="10"/>
      <c r="J29" s="11" t="s">
        <v>33</v>
      </c>
      <c r="K29" s="12" t="s">
        <v>34</v>
      </c>
      <c r="L29" s="10"/>
      <c r="M29" s="11" t="s">
        <v>35</v>
      </c>
      <c r="N29" s="12"/>
      <c r="O29" s="10"/>
      <c r="P29" s="27"/>
      <c r="Q29" s="14"/>
      <c r="R29" s="10"/>
      <c r="S29" s="27"/>
      <c r="T29" s="12"/>
      <c r="U29" s="10"/>
      <c r="V29" s="27"/>
      <c r="W29" s="12"/>
      <c r="X29" s="10"/>
      <c r="Y29" s="27"/>
      <c r="Z29" s="37"/>
      <c r="AA29" s="12" t="s">
        <v>37</v>
      </c>
      <c r="AB29" s="10"/>
      <c r="AC29" s="27"/>
    </row>
    <row r="30" ht="22.5" customHeight="1">
      <c r="A30" s="30">
        <v>7.0</v>
      </c>
      <c r="B30" s="53">
        <v>3.0</v>
      </c>
      <c r="C30" s="30" t="s">
        <v>543</v>
      </c>
      <c r="D30" s="22" t="s">
        <v>56</v>
      </c>
      <c r="E30" s="7" t="str">
        <f>IFERROR(__xludf.DUMMYFUNCTION("IF(AND(F30 &gt; 0.3, F30 &lt; 0.5), SPARKLINE(F30,{""charttype"",""bar"";""color1"",""Gold"";""max"",1}),
IF(F30 = 1, SPARKLINE(F30,{""charttype"",""bar"";""color1"",""Lime"";""max"",1}),
IF(F30 &gt;= 0.5, SPARKLINE(F30,{""charttype"",""bar"";""color1"",""GreenYel"&amp;"low"";""max"",1}),
SPARKLINE(F30,{""charttype"",""bar"";""color1"",""DarkOrange"";""max"",1}))))"),"")</f>
        <v/>
      </c>
      <c r="F30" s="8">
        <f t="shared" si="1"/>
        <v>0.3333333333</v>
      </c>
      <c r="G30" s="18" t="s">
        <v>544</v>
      </c>
      <c r="H30" s="36" t="s">
        <v>156</v>
      </c>
      <c r="I30" s="10"/>
      <c r="J30" s="11" t="s">
        <v>33</v>
      </c>
      <c r="K30" s="12" t="s">
        <v>34</v>
      </c>
      <c r="L30" s="10"/>
      <c r="M30" s="11" t="s">
        <v>35</v>
      </c>
      <c r="N30" s="12"/>
      <c r="O30" s="10"/>
      <c r="P30" s="27"/>
      <c r="Q30" s="14"/>
      <c r="R30" s="10"/>
      <c r="S30" s="27"/>
      <c r="T30" s="12"/>
      <c r="U30" s="10"/>
      <c r="V30" s="27"/>
      <c r="W30" s="12"/>
      <c r="X30" s="10"/>
      <c r="Y30" s="27"/>
      <c r="Z30" s="37"/>
      <c r="AA30" s="12" t="s">
        <v>37</v>
      </c>
      <c r="AB30" s="10"/>
      <c r="AC30" s="27"/>
    </row>
    <row r="31" ht="22.5" customHeight="1">
      <c r="A31" s="30">
        <v>7.0</v>
      </c>
      <c r="B31" s="54">
        <v>3.0</v>
      </c>
      <c r="C31" s="33" t="s">
        <v>545</v>
      </c>
      <c r="D31" s="21" t="s">
        <v>60</v>
      </c>
      <c r="E31" s="7" t="str">
        <f>IFERROR(__xludf.DUMMYFUNCTION("IF(AND(F31 &gt; 0.3, F31 &lt; 0.5), SPARKLINE(F31,{""charttype"",""bar"";""color1"",""Gold"";""max"",1}),
IF(F31 = 1, SPARKLINE(F31,{""charttype"",""bar"";""color1"",""Lime"";""max"",1}),
IF(F31 &gt;= 0.5, SPARKLINE(F31,{""charttype"",""bar"";""color1"",""GreenYel"&amp;"low"";""max"",1}),
SPARKLINE(F31,{""charttype"",""bar"";""color1"",""DarkOrange"";""max"",1}))))"),"")</f>
        <v/>
      </c>
      <c r="F31" s="8">
        <f t="shared" si="1"/>
        <v>0.3333333333</v>
      </c>
      <c r="G31" s="18" t="s">
        <v>546</v>
      </c>
      <c r="H31" s="36" t="s">
        <v>156</v>
      </c>
      <c r="I31" s="10"/>
      <c r="J31" s="11" t="s">
        <v>33</v>
      </c>
      <c r="K31" s="12" t="s">
        <v>34</v>
      </c>
      <c r="L31" s="10"/>
      <c r="M31" s="11" t="s">
        <v>35</v>
      </c>
      <c r="N31" s="12"/>
      <c r="O31" s="10"/>
      <c r="P31" s="27"/>
      <c r="Q31" s="14"/>
      <c r="R31" s="10"/>
      <c r="S31" s="27"/>
      <c r="T31" s="12"/>
      <c r="U31" s="10"/>
      <c r="V31" s="27"/>
      <c r="W31" s="12"/>
      <c r="X31" s="10"/>
      <c r="Y31" s="27"/>
      <c r="Z31" s="37"/>
      <c r="AA31" s="12" t="s">
        <v>37</v>
      </c>
      <c r="AB31" s="10"/>
      <c r="AC31" s="11"/>
    </row>
    <row r="32" ht="22.5" customHeight="1">
      <c r="A32" s="30">
        <v>7.0</v>
      </c>
      <c r="B32" s="53">
        <v>3.0</v>
      </c>
      <c r="C32" s="30" t="s">
        <v>547</v>
      </c>
      <c r="D32" s="22" t="s">
        <v>149</v>
      </c>
      <c r="E32" s="7" t="str">
        <f>IFERROR(__xludf.DUMMYFUNCTION("IF(AND(F32 &gt; 0.3, F32 &lt; 0.5), SPARKLINE(F32,{""charttype"",""bar"";""color1"",""Gold"";""max"",1}),
IF(F32 = 1, SPARKLINE(F32,{""charttype"",""bar"";""color1"",""Lime"";""max"",1}),
IF(F32 &gt;= 0.5, SPARKLINE(F32,{""charttype"",""bar"";""color1"",""GreenYel"&amp;"low"";""max"",1}),
SPARKLINE(F32,{""charttype"",""bar"";""color1"",""DarkOrange"";""max"",1}))))"),"")</f>
        <v/>
      </c>
      <c r="F32" s="8">
        <f t="shared" si="1"/>
        <v>0.3333333333</v>
      </c>
      <c r="G32" s="37"/>
      <c r="H32" s="36" t="s">
        <v>156</v>
      </c>
      <c r="I32" s="10"/>
      <c r="J32" s="11" t="s">
        <v>33</v>
      </c>
      <c r="K32" s="12" t="s">
        <v>34</v>
      </c>
      <c r="L32" s="10"/>
      <c r="M32" s="11" t="s">
        <v>35</v>
      </c>
      <c r="N32" s="12"/>
      <c r="O32" s="10"/>
      <c r="P32" s="27"/>
      <c r="Q32" s="14"/>
      <c r="R32" s="10"/>
      <c r="S32" s="27"/>
      <c r="T32" s="12"/>
      <c r="U32" s="10"/>
      <c r="V32" s="27"/>
      <c r="W32" s="12"/>
      <c r="X32" s="10"/>
      <c r="Y32" s="27"/>
      <c r="Z32" s="37"/>
      <c r="AA32" s="12" t="s">
        <v>37</v>
      </c>
      <c r="AB32" s="10"/>
      <c r="AC32" s="27"/>
    </row>
    <row r="33" ht="22.5" customHeight="1">
      <c r="A33" s="30">
        <v>7.0</v>
      </c>
      <c r="B33" s="53">
        <v>3.0</v>
      </c>
      <c r="C33" s="30" t="s">
        <v>548</v>
      </c>
      <c r="D33" s="22" t="s">
        <v>64</v>
      </c>
      <c r="E33" s="7" t="str">
        <f>IFERROR(__xludf.DUMMYFUNCTION("IF(AND(F33 &gt; 0.3, F33 &lt; 0.5), SPARKLINE(F33,{""charttype"",""bar"";""color1"",""Gold"";""max"",1}),
IF(F33 = 1, SPARKLINE(F33,{""charttype"",""bar"";""color1"",""Lime"";""max"",1}),
IF(F33 &gt;= 0.5, SPARKLINE(F33,{""charttype"",""bar"";""color1"",""GreenYel"&amp;"low"";""max"",1}),
SPARKLINE(F33,{""charttype"",""bar"";""color1"",""DarkOrange"";""max"",1}))))"),"")</f>
        <v/>
      </c>
      <c r="F33" s="8">
        <f t="shared" si="1"/>
        <v>0.3333333333</v>
      </c>
      <c r="G33" s="18" t="s">
        <v>549</v>
      </c>
      <c r="H33" s="36" t="s">
        <v>156</v>
      </c>
      <c r="I33" s="10"/>
      <c r="J33" s="11" t="s">
        <v>33</v>
      </c>
      <c r="K33" s="12" t="s">
        <v>34</v>
      </c>
      <c r="L33" s="10"/>
      <c r="M33" s="11" t="s">
        <v>35</v>
      </c>
      <c r="N33" s="12"/>
      <c r="O33" s="10"/>
      <c r="P33" s="27"/>
      <c r="Q33" s="14"/>
      <c r="R33" s="10"/>
      <c r="S33" s="27"/>
      <c r="T33" s="12"/>
      <c r="U33" s="10"/>
      <c r="V33" s="27"/>
      <c r="W33" s="12"/>
      <c r="X33" s="10"/>
      <c r="Y33" s="27"/>
      <c r="Z33" s="37"/>
      <c r="AA33" s="12" t="s">
        <v>37</v>
      </c>
      <c r="AB33" s="10"/>
      <c r="AC33" s="27"/>
    </row>
    <row r="34" ht="22.5" customHeight="1">
      <c r="A34" s="30">
        <v>7.0</v>
      </c>
      <c r="B34" s="54">
        <v>4.0</v>
      </c>
      <c r="C34" s="33" t="s">
        <v>550</v>
      </c>
      <c r="D34" s="21" t="s">
        <v>30</v>
      </c>
      <c r="E34" s="7" t="str">
        <f>IFERROR(__xludf.DUMMYFUNCTION("IF(AND(F34 &gt; 0.3, F34 &lt; 0.5), SPARKLINE(F34,{""charttype"",""bar"";""color1"",""Gold"";""max"",1}),
IF(F34 = 1, SPARKLINE(F34,{""charttype"",""bar"";""color1"",""Lime"";""max"",1}),
IF(F34 &gt;= 0.5, SPARKLINE(F34,{""charttype"",""bar"";""color1"",""GreenYel"&amp;"low"";""max"",1}),
SPARKLINE(F34,{""charttype"",""bar"";""color1"",""DarkOrange"";""max"",1}))))"),"")</f>
        <v/>
      </c>
      <c r="F34" s="8">
        <f t="shared" si="1"/>
        <v>0.3333333333</v>
      </c>
      <c r="G34" s="18" t="s">
        <v>551</v>
      </c>
      <c r="H34" s="36" t="s">
        <v>156</v>
      </c>
      <c r="I34" s="10"/>
      <c r="J34" s="11" t="s">
        <v>33</v>
      </c>
      <c r="K34" s="12" t="s">
        <v>34</v>
      </c>
      <c r="L34" s="10"/>
      <c r="M34" s="11" t="s">
        <v>35</v>
      </c>
      <c r="N34" s="12"/>
      <c r="O34" s="10"/>
      <c r="P34" s="27"/>
      <c r="Q34" s="14"/>
      <c r="R34" s="10"/>
      <c r="S34" s="27"/>
      <c r="T34" s="12"/>
      <c r="U34" s="10"/>
      <c r="V34" s="27"/>
      <c r="W34" s="12"/>
      <c r="X34" s="10"/>
      <c r="Y34" s="27"/>
      <c r="Z34" s="37"/>
      <c r="AA34" s="12" t="s">
        <v>37</v>
      </c>
      <c r="AB34" s="10"/>
      <c r="AC34" s="27"/>
    </row>
    <row r="35" ht="22.5" customHeight="1">
      <c r="A35" s="30">
        <v>7.0</v>
      </c>
      <c r="B35" s="53">
        <v>4.0</v>
      </c>
      <c r="C35" s="30" t="s">
        <v>552</v>
      </c>
      <c r="D35" s="22" t="s">
        <v>30</v>
      </c>
      <c r="E35" s="7" t="str">
        <f>IFERROR(__xludf.DUMMYFUNCTION("IF(AND(F35 &gt; 0.3, F35 &lt; 0.5), SPARKLINE(F35,{""charttype"",""bar"";""color1"",""Gold"";""max"",1}),
IF(F35 = 1, SPARKLINE(F35,{""charttype"",""bar"";""color1"",""Lime"";""max"",1}),
IF(F35 &gt;= 0.5, SPARKLINE(F35,{""charttype"",""bar"";""color1"",""GreenYel"&amp;"low"";""max"",1}),
SPARKLINE(F35,{""charttype"",""bar"";""color1"",""DarkOrange"";""max"",1}))))"),"")</f>
        <v/>
      </c>
      <c r="F35" s="8">
        <f t="shared" si="1"/>
        <v>0.3333333333</v>
      </c>
      <c r="G35" s="18" t="s">
        <v>553</v>
      </c>
      <c r="H35" s="36" t="s">
        <v>156</v>
      </c>
      <c r="I35" s="10"/>
      <c r="J35" s="11" t="s">
        <v>33</v>
      </c>
      <c r="K35" s="12" t="s">
        <v>34</v>
      </c>
      <c r="L35" s="10"/>
      <c r="M35" s="11" t="s">
        <v>35</v>
      </c>
      <c r="N35" s="12"/>
      <c r="O35" s="10"/>
      <c r="P35" s="27"/>
      <c r="Q35" s="14"/>
      <c r="R35" s="10"/>
      <c r="S35" s="27"/>
      <c r="T35" s="12"/>
      <c r="U35" s="10"/>
      <c r="V35" s="27"/>
      <c r="W35" s="12"/>
      <c r="X35" s="10"/>
      <c r="Y35" s="27"/>
      <c r="Z35" s="37"/>
      <c r="AA35" s="12" t="s">
        <v>37</v>
      </c>
      <c r="AB35" s="10"/>
      <c r="AC35" s="27"/>
    </row>
    <row r="36" ht="22.5" customHeight="1">
      <c r="A36" s="30">
        <v>7.0</v>
      </c>
      <c r="B36" s="54">
        <v>4.0</v>
      </c>
      <c r="C36" s="33" t="s">
        <v>554</v>
      </c>
      <c r="D36" s="21" t="s">
        <v>30</v>
      </c>
      <c r="E36" s="7" t="str">
        <f>IFERROR(__xludf.DUMMYFUNCTION("IF(AND(F36 &gt; 0.3, F36 &lt; 0.5), SPARKLINE(F36,{""charttype"",""bar"";""color1"",""Gold"";""max"",1}),
IF(F36 = 1, SPARKLINE(F36,{""charttype"",""bar"";""color1"",""Lime"";""max"",1}),
IF(F36 &gt;= 0.5, SPARKLINE(F36,{""charttype"",""bar"";""color1"",""GreenYel"&amp;"low"";""max"",1}),
SPARKLINE(F36,{""charttype"",""bar"";""color1"",""DarkOrange"";""max"",1}))))"),"")</f>
        <v/>
      </c>
      <c r="F36" s="8">
        <f t="shared" si="1"/>
        <v>0.3333333333</v>
      </c>
      <c r="G36" s="18" t="s">
        <v>555</v>
      </c>
      <c r="H36" s="36" t="s">
        <v>156</v>
      </c>
      <c r="I36" s="10"/>
      <c r="J36" s="11" t="s">
        <v>33</v>
      </c>
      <c r="K36" s="12" t="s">
        <v>34</v>
      </c>
      <c r="L36" s="10"/>
      <c r="M36" s="11" t="s">
        <v>35</v>
      </c>
      <c r="N36" s="12"/>
      <c r="O36" s="10"/>
      <c r="P36" s="27"/>
      <c r="Q36" s="14"/>
      <c r="R36" s="10"/>
      <c r="S36" s="27"/>
      <c r="T36" s="12"/>
      <c r="U36" s="10"/>
      <c r="V36" s="27"/>
      <c r="W36" s="12"/>
      <c r="X36" s="10"/>
      <c r="Y36" s="27"/>
      <c r="Z36" s="37"/>
      <c r="AA36" s="12" t="s">
        <v>37</v>
      </c>
      <c r="AB36" s="10"/>
      <c r="AC36" s="27"/>
    </row>
    <row r="37" ht="22.5" customHeight="1">
      <c r="A37" s="30">
        <v>7.0</v>
      </c>
      <c r="B37" s="53">
        <v>4.0</v>
      </c>
      <c r="C37" s="30" t="s">
        <v>556</v>
      </c>
      <c r="D37" s="22" t="s">
        <v>45</v>
      </c>
      <c r="E37" s="7" t="str">
        <f>IFERROR(__xludf.DUMMYFUNCTION("IF(AND(F37 &gt; 0.3, F37 &lt; 0.5), SPARKLINE(F37,{""charttype"",""bar"";""color1"",""Gold"";""max"",1}),
IF(F37 = 1, SPARKLINE(F37,{""charttype"",""bar"";""color1"",""Lime"";""max"",1}),
IF(F37 &gt;= 0.5, SPARKLINE(F37,{""charttype"",""bar"";""color1"",""GreenYel"&amp;"low"";""max"",1}),
SPARKLINE(F37,{""charttype"",""bar"";""color1"",""DarkOrange"";""max"",1}))))"),"")</f>
        <v/>
      </c>
      <c r="F37" s="8">
        <f t="shared" si="1"/>
        <v>0.3333333333</v>
      </c>
      <c r="G37" s="18" t="s">
        <v>557</v>
      </c>
      <c r="H37" s="36" t="s">
        <v>156</v>
      </c>
      <c r="I37" s="10"/>
      <c r="J37" s="11" t="s">
        <v>33</v>
      </c>
      <c r="K37" s="12" t="s">
        <v>34</v>
      </c>
      <c r="L37" s="10"/>
      <c r="M37" s="11" t="s">
        <v>35</v>
      </c>
      <c r="N37" s="12"/>
      <c r="O37" s="10"/>
      <c r="P37" s="27"/>
      <c r="Q37" s="14"/>
      <c r="R37" s="10"/>
      <c r="S37" s="27"/>
      <c r="T37" s="12"/>
      <c r="U37" s="10"/>
      <c r="V37" s="27"/>
      <c r="W37" s="12"/>
      <c r="X37" s="10"/>
      <c r="Y37" s="27"/>
      <c r="Z37" s="37"/>
      <c r="AA37" s="12" t="s">
        <v>37</v>
      </c>
      <c r="AB37" s="10"/>
      <c r="AC37" s="27"/>
    </row>
    <row r="38" ht="22.5" customHeight="1">
      <c r="A38" s="30">
        <v>7.0</v>
      </c>
      <c r="B38" s="54">
        <v>4.0</v>
      </c>
      <c r="C38" s="33" t="s">
        <v>558</v>
      </c>
      <c r="D38" s="21" t="s">
        <v>45</v>
      </c>
      <c r="E38" s="7" t="str">
        <f>IFERROR(__xludf.DUMMYFUNCTION("IF(AND(F38 &gt; 0.3, F38 &lt; 0.5), SPARKLINE(F38,{""charttype"",""bar"";""color1"",""Gold"";""max"",1}),
IF(F38 = 1, SPARKLINE(F38,{""charttype"",""bar"";""color1"",""Lime"";""max"",1}),
IF(F38 &gt;= 0.5, SPARKLINE(F38,{""charttype"",""bar"";""color1"",""GreenYel"&amp;"low"";""max"",1}),
SPARKLINE(F38,{""charttype"",""bar"";""color1"",""DarkOrange"";""max"",1}))))"),"")</f>
        <v/>
      </c>
      <c r="F38" s="8">
        <f t="shared" si="1"/>
        <v>0.3333333333</v>
      </c>
      <c r="G38" s="18" t="s">
        <v>559</v>
      </c>
      <c r="H38" s="36" t="s">
        <v>156</v>
      </c>
      <c r="I38" s="10"/>
      <c r="J38" s="11" t="s">
        <v>33</v>
      </c>
      <c r="K38" s="12" t="s">
        <v>34</v>
      </c>
      <c r="L38" s="10"/>
      <c r="M38" s="11" t="s">
        <v>35</v>
      </c>
      <c r="N38" s="12"/>
      <c r="O38" s="10"/>
      <c r="P38" s="27"/>
      <c r="Q38" s="14"/>
      <c r="R38" s="10"/>
      <c r="S38" s="27"/>
      <c r="T38" s="12"/>
      <c r="U38" s="10"/>
      <c r="V38" s="27"/>
      <c r="W38" s="12"/>
      <c r="X38" s="10"/>
      <c r="Y38" s="27"/>
      <c r="Z38" s="37"/>
      <c r="AA38" s="12" t="s">
        <v>37</v>
      </c>
      <c r="AB38" s="10"/>
      <c r="AC38" s="27"/>
    </row>
    <row r="39" ht="22.5" customHeight="1">
      <c r="A39" s="30">
        <v>7.0</v>
      </c>
      <c r="B39" s="53">
        <v>4.0</v>
      </c>
      <c r="C39" s="30" t="s">
        <v>560</v>
      </c>
      <c r="D39" s="22" t="s">
        <v>45</v>
      </c>
      <c r="E39" s="7" t="str">
        <f>IFERROR(__xludf.DUMMYFUNCTION("IF(AND(F39 &gt; 0.3, F39 &lt; 0.5), SPARKLINE(F39,{""charttype"",""bar"";""color1"",""Gold"";""max"",1}),
IF(F39 = 1, SPARKLINE(F39,{""charttype"",""bar"";""color1"",""Lime"";""max"",1}),
IF(F39 &gt;= 0.5, SPARKLINE(F39,{""charttype"",""bar"";""color1"",""GreenYel"&amp;"low"";""max"",1}),
SPARKLINE(F39,{""charttype"",""bar"";""color1"",""DarkOrange"";""max"",1}))))"),"")</f>
        <v/>
      </c>
      <c r="F39" s="8">
        <f t="shared" si="1"/>
        <v>0.3333333333</v>
      </c>
      <c r="G39" s="23" t="s">
        <v>561</v>
      </c>
      <c r="H39" s="36" t="s">
        <v>156</v>
      </c>
      <c r="I39" s="10"/>
      <c r="J39" s="11" t="s">
        <v>33</v>
      </c>
      <c r="K39" s="12" t="s">
        <v>34</v>
      </c>
      <c r="L39" s="10"/>
      <c r="M39" s="11" t="s">
        <v>35</v>
      </c>
      <c r="N39" s="12"/>
      <c r="O39" s="10"/>
      <c r="P39" s="27"/>
      <c r="Q39" s="14"/>
      <c r="R39" s="10"/>
      <c r="S39" s="27"/>
      <c r="T39" s="12"/>
      <c r="U39" s="10"/>
      <c r="V39" s="27"/>
      <c r="W39" s="12"/>
      <c r="X39" s="10"/>
      <c r="Y39" s="27"/>
      <c r="Z39" s="37"/>
      <c r="AA39" s="12" t="s">
        <v>37</v>
      </c>
      <c r="AB39" s="10"/>
      <c r="AC39" s="27"/>
    </row>
    <row r="40" ht="22.5" customHeight="1">
      <c r="A40" s="30">
        <v>7.0</v>
      </c>
      <c r="B40" s="54">
        <v>4.0</v>
      </c>
      <c r="C40" s="33" t="s">
        <v>562</v>
      </c>
      <c r="D40" s="21" t="s">
        <v>56</v>
      </c>
      <c r="E40" s="7" t="str">
        <f>IFERROR(__xludf.DUMMYFUNCTION("IF(AND(F40 &gt; 0.3, F40 &lt; 0.5), SPARKLINE(F40,{""charttype"",""bar"";""color1"",""Gold"";""max"",1}),
IF(F40 = 1, SPARKLINE(F40,{""charttype"",""bar"";""color1"",""Lime"";""max"",1}),
IF(F40 &gt;= 0.5, SPARKLINE(F40,{""charttype"",""bar"";""color1"",""GreenYel"&amp;"low"";""max"",1}),
SPARKLINE(F40,{""charttype"",""bar"";""color1"",""DarkOrange"";""max"",1}))))"),"")</f>
        <v/>
      </c>
      <c r="F40" s="8">
        <f t="shared" si="1"/>
        <v>0.3333333333</v>
      </c>
      <c r="G40" s="18" t="s">
        <v>563</v>
      </c>
      <c r="H40" s="36" t="s">
        <v>156</v>
      </c>
      <c r="I40" s="10"/>
      <c r="J40" s="11" t="s">
        <v>33</v>
      </c>
      <c r="K40" s="12" t="s">
        <v>34</v>
      </c>
      <c r="L40" s="10"/>
      <c r="M40" s="11" t="s">
        <v>35</v>
      </c>
      <c r="N40" s="12"/>
      <c r="O40" s="10"/>
      <c r="P40" s="27"/>
      <c r="Q40" s="14"/>
      <c r="R40" s="10"/>
      <c r="S40" s="27"/>
      <c r="T40" s="12"/>
      <c r="U40" s="10"/>
      <c r="V40" s="27"/>
      <c r="W40" s="12"/>
      <c r="X40" s="10"/>
      <c r="Y40" s="27"/>
      <c r="Z40" s="37"/>
      <c r="AA40" s="12" t="s">
        <v>37</v>
      </c>
      <c r="AB40" s="10"/>
      <c r="AC40" s="27"/>
    </row>
    <row r="41" ht="22.5" customHeight="1">
      <c r="A41" s="30">
        <v>7.0</v>
      </c>
      <c r="B41" s="53">
        <v>4.0</v>
      </c>
      <c r="C41" s="30" t="s">
        <v>564</v>
      </c>
      <c r="D41" s="22" t="s">
        <v>60</v>
      </c>
      <c r="E41" s="7" t="str">
        <f>IFERROR(__xludf.DUMMYFUNCTION("IF(AND(F41 &gt; 0.3, F41 &lt; 0.5), SPARKLINE(F41,{""charttype"",""bar"";""color1"",""Gold"";""max"",1}),
IF(F41 = 1, SPARKLINE(F41,{""charttype"",""bar"";""color1"",""Lime"";""max"",1}),
IF(F41 &gt;= 0.5, SPARKLINE(F41,{""charttype"",""bar"";""color1"",""GreenYel"&amp;"low"";""max"",1}),
SPARKLINE(F41,{""charttype"",""bar"";""color1"",""DarkOrange"";""max"",1}))))"),"")</f>
        <v/>
      </c>
      <c r="F41" s="8">
        <f t="shared" si="1"/>
        <v>0.3333333333</v>
      </c>
      <c r="G41" s="18" t="s">
        <v>565</v>
      </c>
      <c r="H41" s="36" t="s">
        <v>156</v>
      </c>
      <c r="I41" s="10"/>
      <c r="J41" s="11" t="s">
        <v>33</v>
      </c>
      <c r="K41" s="12" t="s">
        <v>34</v>
      </c>
      <c r="L41" s="10"/>
      <c r="M41" s="11" t="s">
        <v>35</v>
      </c>
      <c r="N41" s="12"/>
      <c r="O41" s="10"/>
      <c r="P41" s="27"/>
      <c r="Q41" s="14"/>
      <c r="R41" s="10"/>
      <c r="S41" s="27"/>
      <c r="T41" s="12"/>
      <c r="U41" s="10"/>
      <c r="V41" s="27"/>
      <c r="W41" s="12"/>
      <c r="X41" s="10"/>
      <c r="Y41" s="27"/>
      <c r="Z41" s="37"/>
      <c r="AA41" s="12" t="s">
        <v>37</v>
      </c>
      <c r="AB41" s="10"/>
      <c r="AC41" s="11"/>
    </row>
    <row r="42" ht="22.5" customHeight="1">
      <c r="A42" s="30">
        <v>7.0</v>
      </c>
      <c r="B42" s="53">
        <v>4.0</v>
      </c>
      <c r="C42" s="30" t="s">
        <v>566</v>
      </c>
      <c r="D42" s="22" t="s">
        <v>95</v>
      </c>
      <c r="E42" s="7" t="str">
        <f>IFERROR(__xludf.DUMMYFUNCTION("IF(AND(F42 &gt; 0.3, F42 &lt; 0.5), SPARKLINE(F42,{""charttype"",""bar"";""color1"",""Gold"";""max"",1}),
IF(F42 = 1, SPARKLINE(F42,{""charttype"",""bar"";""color1"",""Lime"";""max"",1}),
IF(F42 &gt;= 0.5, SPARKLINE(F42,{""charttype"",""bar"";""color1"",""GreenYel"&amp;"low"";""max"",1}),
SPARKLINE(F42,{""charttype"",""bar"";""color1"",""DarkOrange"";""max"",1}))))"),"")</f>
        <v/>
      </c>
      <c r="F42" s="8">
        <f t="shared" si="1"/>
        <v>0</v>
      </c>
      <c r="G42" s="18" t="s">
        <v>567</v>
      </c>
      <c r="H42" s="36" t="s">
        <v>156</v>
      </c>
      <c r="I42" s="10"/>
      <c r="J42" s="11" t="s">
        <v>271</v>
      </c>
      <c r="K42" s="12" t="s">
        <v>34</v>
      </c>
      <c r="L42" s="10"/>
      <c r="M42" s="27"/>
      <c r="N42" s="12"/>
      <c r="O42" s="10"/>
      <c r="P42" s="27"/>
      <c r="Q42" s="14"/>
      <c r="R42" s="10"/>
      <c r="S42" s="27"/>
      <c r="T42" s="12"/>
      <c r="U42" s="10"/>
      <c r="V42" s="27"/>
      <c r="W42" s="12"/>
      <c r="X42" s="10"/>
      <c r="Y42" s="27"/>
      <c r="Z42" s="37"/>
      <c r="AA42" s="12" t="s">
        <v>37</v>
      </c>
      <c r="AB42" s="10"/>
      <c r="AC42" s="27"/>
    </row>
    <row r="43" ht="22.5" customHeight="1">
      <c r="A43" s="30">
        <v>7.0</v>
      </c>
      <c r="B43" s="53">
        <v>4.0</v>
      </c>
      <c r="C43" s="30" t="s">
        <v>568</v>
      </c>
      <c r="D43" s="22" t="s">
        <v>64</v>
      </c>
      <c r="E43" s="7" t="str">
        <f>IFERROR(__xludf.DUMMYFUNCTION("IF(AND(F43 &gt; 0.3, F43 &lt; 0.5), SPARKLINE(F43,{""charttype"",""bar"";""color1"",""Gold"";""max"",1}),
IF(F43 = 1, SPARKLINE(F43,{""charttype"",""bar"";""color1"",""Lime"";""max"",1}),
IF(F43 &gt;= 0.5, SPARKLINE(F43,{""charttype"",""bar"";""color1"",""GreenYel"&amp;"low"";""max"",1}),
SPARKLINE(F43,{""charttype"",""bar"";""color1"",""DarkOrange"";""max"",1}))))"),"")</f>
        <v/>
      </c>
      <c r="F43" s="8">
        <f t="shared" si="1"/>
        <v>0.3333333333</v>
      </c>
      <c r="G43" s="18" t="s">
        <v>569</v>
      </c>
      <c r="H43" s="36" t="s">
        <v>156</v>
      </c>
      <c r="I43" s="10"/>
      <c r="J43" s="11" t="s">
        <v>33</v>
      </c>
      <c r="K43" s="12" t="s">
        <v>34</v>
      </c>
      <c r="L43" s="10"/>
      <c r="M43" s="11" t="s">
        <v>35</v>
      </c>
      <c r="N43" s="12"/>
      <c r="O43" s="10"/>
      <c r="P43" s="27"/>
      <c r="Q43" s="14"/>
      <c r="R43" s="10"/>
      <c r="S43" s="27"/>
      <c r="T43" s="12"/>
      <c r="U43" s="10"/>
      <c r="V43" s="27"/>
      <c r="W43" s="12"/>
      <c r="X43" s="10"/>
      <c r="Y43" s="27"/>
      <c r="Z43" s="37"/>
      <c r="AA43" s="12" t="s">
        <v>37</v>
      </c>
      <c r="AB43" s="10"/>
      <c r="AC43" s="27"/>
    </row>
  </sheetData>
  <dataValidations>
    <dataValidation type="list" allowBlank="1" sqref="P2:P43 S2:S43 Y2:Y43">
      <formula1>"Concluído,Em Andamento,Pendente,Precisa de Alteração"</formula1>
    </dataValidation>
    <dataValidation type="list" allowBlank="1" sqref="J2:J43">
      <formula1>"Concluído,Em Andamento,Pendente,Precisa de Alteração,Não há"</formula1>
    </dataValidation>
    <dataValidation type="custom" allowBlank="1" showDropDown="1" sqref="I2:I43 L2:L43 O2:O43 R2:R43 U2:U43 X2:X43 AB2:AB43">
      <formula1>OR(NOT(ISERROR(DATEVALUE(I2))), AND(ISNUMBER(I2), LEFT(CELL("format", I2))="D"))</formula1>
    </dataValidation>
    <dataValidation type="list" allowBlank="1" sqref="V2:V43">
      <formula1>"Concluído,Em Andamento,Pendente,Precisa de Alteração,Não Há"</formula1>
    </dataValidation>
    <dataValidation type="list" allowBlank="1" sqref="AC2:AC43">
      <formula1>"Concluído,Em Andamento,Pendente,Aguardando Correção"</formula1>
    </dataValidation>
    <dataValidation type="custom" allowBlank="1" showDropDown="1" sqref="F2:F43">
      <formula1>AND(ISNUMBER(F2),(NOT(OR(NOT(ISERROR(DATEVALUE(F2))), AND(ISNUMBER(F2), LEFT(CELL("format", F2))="D")))))</formula1>
    </dataValidation>
    <dataValidation type="list" allowBlank="1" sqref="M2:M43">
      <formula1>"Concluído,Em Andamento,Pendente,Aguardando Correção,Não há"</formula1>
    </dataValidation>
  </dataValidations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Z6"/>
    <hyperlink r:id="rId12" ref="G7"/>
    <hyperlink r:id="rId13" ref="H7"/>
    <hyperlink r:id="rId14" ref="Z7"/>
    <hyperlink r:id="rId15" ref="G8"/>
    <hyperlink r:id="rId16" ref="H8"/>
    <hyperlink r:id="rId17" ref="Z8"/>
    <hyperlink r:id="rId18" ref="G9"/>
    <hyperlink r:id="rId19" ref="H9"/>
    <hyperlink r:id="rId20" ref="Z9"/>
    <hyperlink r:id="rId21" ref="G10"/>
    <hyperlink r:id="rId22" ref="H10"/>
    <hyperlink r:id="rId23" ref="G11"/>
    <hyperlink r:id="rId24" ref="H11"/>
    <hyperlink r:id="rId25" ref="H12"/>
    <hyperlink r:id="rId26" ref="G13"/>
    <hyperlink r:id="rId27" ref="H13"/>
    <hyperlink r:id="rId28" ref="G14"/>
    <hyperlink r:id="rId29" ref="H14"/>
    <hyperlink r:id="rId30" ref="G15"/>
    <hyperlink r:id="rId31" ref="H15"/>
    <hyperlink r:id="rId32" ref="G16"/>
    <hyperlink r:id="rId33" ref="H16"/>
    <hyperlink r:id="rId34" ref="G17"/>
    <hyperlink r:id="rId35" ref="H17"/>
    <hyperlink r:id="rId36" ref="Z17"/>
    <hyperlink r:id="rId37" ref="G18"/>
    <hyperlink r:id="rId38" ref="H18"/>
    <hyperlink r:id="rId39" ref="Z18"/>
    <hyperlink r:id="rId40" ref="G19"/>
    <hyperlink r:id="rId41" ref="H19"/>
    <hyperlink r:id="rId42" ref="Z19"/>
    <hyperlink r:id="rId43" ref="G20"/>
    <hyperlink r:id="rId44" ref="H20"/>
    <hyperlink r:id="rId45" ref="G21"/>
    <hyperlink r:id="rId46" ref="H21"/>
    <hyperlink r:id="rId47" ref="H22"/>
    <hyperlink r:id="rId48" ref="G23"/>
    <hyperlink r:id="rId49" ref="H23"/>
    <hyperlink r:id="rId50" ref="G24"/>
    <hyperlink r:id="rId51" ref="H24"/>
    <hyperlink r:id="rId52" ref="G25"/>
    <hyperlink r:id="rId53" ref="H25"/>
    <hyperlink r:id="rId54" ref="G26"/>
    <hyperlink r:id="rId55" ref="H26"/>
    <hyperlink r:id="rId56" ref="G27"/>
    <hyperlink r:id="rId57" ref="H27"/>
    <hyperlink r:id="rId58" ref="Z27"/>
    <hyperlink r:id="rId59" ref="G28"/>
    <hyperlink r:id="rId60" ref="H28"/>
    <hyperlink r:id="rId61" ref="Z28"/>
    <hyperlink r:id="rId62" ref="G29"/>
    <hyperlink r:id="rId63" ref="H29"/>
    <hyperlink r:id="rId64" ref="G30"/>
    <hyperlink r:id="rId65" ref="H30"/>
    <hyperlink r:id="rId66" ref="G31"/>
    <hyperlink r:id="rId67" ref="H31"/>
    <hyperlink r:id="rId68" ref="H32"/>
    <hyperlink r:id="rId69" ref="G33"/>
    <hyperlink r:id="rId70" ref="H33"/>
    <hyperlink r:id="rId71" ref="G34"/>
    <hyperlink r:id="rId72" ref="H34"/>
    <hyperlink r:id="rId73" ref="G35"/>
    <hyperlink r:id="rId74" ref="H35"/>
    <hyperlink r:id="rId75" ref="G36"/>
    <hyperlink r:id="rId76" ref="H36"/>
    <hyperlink r:id="rId77" ref="G37"/>
    <hyperlink r:id="rId78" ref="H37"/>
    <hyperlink r:id="rId79" ref="G38"/>
    <hyperlink r:id="rId80" ref="H38"/>
    <hyperlink r:id="rId81" ref="G39"/>
    <hyperlink r:id="rId82" ref="H39"/>
    <hyperlink r:id="rId83" ref="G40"/>
    <hyperlink r:id="rId84" ref="H40"/>
    <hyperlink r:id="rId85" ref="G41"/>
    <hyperlink r:id="rId86" ref="H41"/>
    <hyperlink r:id="rId87" ref="G42"/>
    <hyperlink r:id="rId88" ref="H42"/>
    <hyperlink r:id="rId89" ref="G43"/>
    <hyperlink r:id="rId90" ref="H43"/>
  </hyperlinks>
  <drawing r:id="rId91"/>
  <tableParts count="1">
    <tablePart r:id="rId9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3.0"/>
    <col customWidth="1" min="2" max="2" width="10.63"/>
    <col customWidth="1" min="3" max="3" width="19.13"/>
    <col customWidth="1" min="4" max="4" width="20.38"/>
    <col customWidth="1" min="5" max="5" width="24.38"/>
    <col customWidth="1" min="6" max="6" width="6.75"/>
    <col customWidth="1" min="7" max="7" width="27.0"/>
    <col customWidth="1" min="8" max="8" width="17.75"/>
    <col customWidth="1" min="9" max="9" width="20.13"/>
    <col customWidth="1" min="10" max="10" width="21.75"/>
    <col customWidth="1" min="11" max="11" width="16.25"/>
    <col customWidth="1" min="12" max="12" width="20.13"/>
    <col customWidth="1" min="13" max="13" width="21.75"/>
    <col customWidth="1" min="14" max="14" width="16.63"/>
    <col customWidth="1" min="15" max="15" width="20.13"/>
    <col customWidth="1" min="16" max="17" width="21.75"/>
    <col customWidth="1" min="18" max="18" width="20.13"/>
    <col customWidth="1" min="19" max="19" width="21.75"/>
    <col customWidth="1" min="20" max="20" width="16.25"/>
    <col customWidth="1" min="21" max="21" width="20.13"/>
    <col customWidth="1" min="22" max="22" width="21.75"/>
    <col customWidth="1" min="23" max="23" width="16.25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30">
        <v>8.0</v>
      </c>
      <c r="B2" s="53">
        <v>1.0</v>
      </c>
      <c r="C2" s="30" t="s">
        <v>570</v>
      </c>
      <c r="D2" s="22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60" si="1">IF(OR(D2="ROTEIRO DE VÍDEO", D2="VÍDEO"), (IF(J2="Concluído", 1, 0) + IF(Y2="Concluído", 1, 0) + IF(AC2="Concluído", 1, 0)) / 3,
IF(OR(D2="SLIDE", D2="FÓRUM", D2="PLANO DE AULA", D2="QUIZ", D2="TAREFA", D2="EBOOK", D2="PDF(AVULSO)"), (IF(J2="Concluído", 1, 0) + IF(Y2="Concluído", 1, 0) + IF(AC2="Concluído", 1, 0)) / 3))</f>
        <v>0</v>
      </c>
      <c r="G2" s="9" t="s">
        <v>571</v>
      </c>
      <c r="H2" s="36" t="s">
        <v>156</v>
      </c>
      <c r="I2" s="10"/>
      <c r="J2" s="27"/>
      <c r="K2" s="12" t="s">
        <v>34</v>
      </c>
      <c r="L2" s="10"/>
      <c r="M2" s="27"/>
      <c r="N2" s="12"/>
      <c r="O2" s="10"/>
      <c r="P2" s="31"/>
      <c r="Q2" s="14"/>
      <c r="R2" s="10"/>
      <c r="S2" s="31"/>
      <c r="T2" s="12"/>
      <c r="U2" s="10"/>
      <c r="V2" s="31"/>
      <c r="W2" s="12"/>
      <c r="X2" s="10"/>
      <c r="Y2" s="31"/>
      <c r="Z2" s="37"/>
      <c r="AA2" s="12" t="s">
        <v>37</v>
      </c>
      <c r="AB2" s="10"/>
      <c r="AC2" s="27"/>
    </row>
    <row r="3" ht="22.5" customHeight="1">
      <c r="A3" s="30">
        <v>8.0</v>
      </c>
      <c r="B3" s="54">
        <v>1.0</v>
      </c>
      <c r="C3" s="33" t="s">
        <v>572</v>
      </c>
      <c r="D3" s="21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0</v>
      </c>
      <c r="G3" s="18" t="s">
        <v>573</v>
      </c>
      <c r="H3" s="36" t="s">
        <v>156</v>
      </c>
      <c r="I3" s="10"/>
      <c r="J3" s="27"/>
      <c r="K3" s="12" t="s">
        <v>34</v>
      </c>
      <c r="L3" s="10"/>
      <c r="M3" s="27"/>
      <c r="N3" s="12"/>
      <c r="O3" s="10"/>
      <c r="P3" s="27"/>
      <c r="Q3" s="14"/>
      <c r="R3" s="10"/>
      <c r="S3" s="27"/>
      <c r="T3" s="12"/>
      <c r="U3" s="10"/>
      <c r="V3" s="27"/>
      <c r="W3" s="12"/>
      <c r="X3" s="10"/>
      <c r="Y3" s="27"/>
      <c r="Z3" s="37"/>
      <c r="AA3" s="12" t="s">
        <v>37</v>
      </c>
      <c r="AB3" s="10"/>
      <c r="AC3" s="27"/>
    </row>
    <row r="4" ht="22.5" customHeight="1">
      <c r="A4" s="30">
        <v>8.0</v>
      </c>
      <c r="B4" s="53">
        <v>1.0</v>
      </c>
      <c r="C4" s="30" t="s">
        <v>574</v>
      </c>
      <c r="D4" s="22" t="s">
        <v>30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0</v>
      </c>
      <c r="G4" s="20" t="s">
        <v>575</v>
      </c>
      <c r="H4" s="36" t="s">
        <v>156</v>
      </c>
      <c r="I4" s="10"/>
      <c r="J4" s="27"/>
      <c r="K4" s="12" t="s">
        <v>34</v>
      </c>
      <c r="L4" s="10"/>
      <c r="M4" s="27"/>
      <c r="N4" s="12"/>
      <c r="O4" s="10"/>
      <c r="P4" s="27"/>
      <c r="Q4" s="14"/>
      <c r="R4" s="10"/>
      <c r="S4" s="27"/>
      <c r="T4" s="12"/>
      <c r="U4" s="10"/>
      <c r="V4" s="27"/>
      <c r="W4" s="12"/>
      <c r="X4" s="10"/>
      <c r="Y4" s="27"/>
      <c r="Z4" s="37"/>
      <c r="AA4" s="12" t="s">
        <v>37</v>
      </c>
      <c r="AB4" s="10"/>
      <c r="AC4" s="27"/>
    </row>
    <row r="5" ht="22.5" customHeight="1">
      <c r="A5" s="30">
        <v>8.0</v>
      </c>
      <c r="B5" s="54">
        <v>1.0</v>
      </c>
      <c r="C5" s="33" t="s">
        <v>576</v>
      </c>
      <c r="D5" s="21" t="s">
        <v>30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0</v>
      </c>
      <c r="G5" s="18" t="s">
        <v>577</v>
      </c>
      <c r="H5" s="36" t="s">
        <v>156</v>
      </c>
      <c r="I5" s="10"/>
      <c r="J5" s="27"/>
      <c r="K5" s="12" t="s">
        <v>34</v>
      </c>
      <c r="L5" s="10"/>
      <c r="M5" s="27"/>
      <c r="N5" s="12"/>
      <c r="O5" s="10"/>
      <c r="P5" s="27"/>
      <c r="Q5" s="14"/>
      <c r="R5" s="10"/>
      <c r="S5" s="27"/>
      <c r="T5" s="12"/>
      <c r="U5" s="10"/>
      <c r="V5" s="27"/>
      <c r="W5" s="12"/>
      <c r="X5" s="10"/>
      <c r="Y5" s="27"/>
      <c r="Z5" s="37"/>
      <c r="AA5" s="12" t="s">
        <v>37</v>
      </c>
      <c r="AB5" s="10"/>
      <c r="AC5" s="27"/>
    </row>
    <row r="6" ht="22.5" customHeight="1">
      <c r="A6" s="30">
        <v>8.0</v>
      </c>
      <c r="B6" s="53">
        <v>1.0</v>
      </c>
      <c r="C6" s="30" t="s">
        <v>578</v>
      </c>
      <c r="D6" s="22" t="s">
        <v>30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0</v>
      </c>
      <c r="G6" s="18" t="s">
        <v>579</v>
      </c>
      <c r="H6" s="36" t="s">
        <v>156</v>
      </c>
      <c r="I6" s="10"/>
      <c r="J6" s="27"/>
      <c r="K6" s="12" t="s">
        <v>34</v>
      </c>
      <c r="L6" s="10"/>
      <c r="M6" s="27"/>
      <c r="N6" s="12"/>
      <c r="O6" s="10"/>
      <c r="P6" s="27"/>
      <c r="Q6" s="14"/>
      <c r="R6" s="10"/>
      <c r="S6" s="27"/>
      <c r="T6" s="12"/>
      <c r="U6" s="10"/>
      <c r="V6" s="27"/>
      <c r="W6" s="12"/>
      <c r="X6" s="10"/>
      <c r="Y6" s="27"/>
      <c r="Z6" s="57"/>
      <c r="AA6" s="12" t="s">
        <v>37</v>
      </c>
      <c r="AB6" s="10"/>
      <c r="AC6" s="27"/>
    </row>
    <row r="7" ht="22.5" customHeight="1">
      <c r="A7" s="30">
        <v>8.0</v>
      </c>
      <c r="B7" s="54">
        <v>1.0</v>
      </c>
      <c r="C7" s="33" t="s">
        <v>580</v>
      </c>
      <c r="D7" s="21" t="s">
        <v>30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0</v>
      </c>
      <c r="G7" s="18" t="s">
        <v>581</v>
      </c>
      <c r="H7" s="36" t="s">
        <v>156</v>
      </c>
      <c r="I7" s="10"/>
      <c r="J7" s="27"/>
      <c r="K7" s="12" t="s">
        <v>34</v>
      </c>
      <c r="L7" s="10"/>
      <c r="M7" s="27"/>
      <c r="N7" s="12"/>
      <c r="O7" s="10"/>
      <c r="P7" s="27"/>
      <c r="Q7" s="14"/>
      <c r="R7" s="10"/>
      <c r="S7" s="27"/>
      <c r="T7" s="12"/>
      <c r="U7" s="10"/>
      <c r="V7" s="27"/>
      <c r="W7" s="12"/>
      <c r="X7" s="10"/>
      <c r="Y7" s="27"/>
      <c r="Z7" s="37"/>
      <c r="AA7" s="12" t="s">
        <v>37</v>
      </c>
      <c r="AB7" s="10"/>
      <c r="AC7" s="27"/>
    </row>
    <row r="8" ht="22.5" customHeight="1">
      <c r="A8" s="30">
        <v>8.0</v>
      </c>
      <c r="B8" s="53">
        <v>1.0</v>
      </c>
      <c r="C8" s="30" t="s">
        <v>582</v>
      </c>
      <c r="D8" s="22" t="s">
        <v>45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0.3333333333</v>
      </c>
      <c r="G8" s="18" t="s">
        <v>583</v>
      </c>
      <c r="H8" s="36" t="s">
        <v>156</v>
      </c>
      <c r="I8" s="10"/>
      <c r="J8" s="11" t="s">
        <v>33</v>
      </c>
      <c r="K8" s="12" t="s">
        <v>34</v>
      </c>
      <c r="L8" s="10"/>
      <c r="M8" s="11" t="s">
        <v>35</v>
      </c>
      <c r="N8" s="12"/>
      <c r="O8" s="10"/>
      <c r="P8" s="27"/>
      <c r="Q8" s="14"/>
      <c r="R8" s="10"/>
      <c r="S8" s="27"/>
      <c r="T8" s="12"/>
      <c r="U8" s="10"/>
      <c r="V8" s="27"/>
      <c r="W8" s="12"/>
      <c r="X8" s="10"/>
      <c r="Y8" s="27"/>
      <c r="Z8" s="56"/>
      <c r="AA8" s="12" t="s">
        <v>37</v>
      </c>
      <c r="AB8" s="10"/>
      <c r="AC8" s="11" t="s">
        <v>35</v>
      </c>
    </row>
    <row r="9" ht="22.5" customHeight="1">
      <c r="A9" s="30">
        <v>8.0</v>
      </c>
      <c r="B9" s="54">
        <v>1.0</v>
      </c>
      <c r="C9" s="33" t="s">
        <v>584</v>
      </c>
      <c r="D9" s="21" t="s">
        <v>45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0</v>
      </c>
      <c r="G9" s="24" t="s">
        <v>585</v>
      </c>
      <c r="H9" s="36" t="s">
        <v>156</v>
      </c>
      <c r="I9" s="10"/>
      <c r="J9" s="27"/>
      <c r="K9" s="12" t="s">
        <v>34</v>
      </c>
      <c r="L9" s="10"/>
      <c r="M9" s="27"/>
      <c r="N9" s="12"/>
      <c r="O9" s="10"/>
      <c r="P9" s="27"/>
      <c r="Q9" s="14"/>
      <c r="R9" s="10"/>
      <c r="S9" s="27"/>
      <c r="T9" s="12"/>
      <c r="U9" s="10"/>
      <c r="V9" s="27"/>
      <c r="W9" s="12"/>
      <c r="X9" s="10"/>
      <c r="Y9" s="27"/>
      <c r="Z9" s="55"/>
      <c r="AA9" s="12" t="s">
        <v>37</v>
      </c>
      <c r="AB9" s="10"/>
      <c r="AC9" s="11" t="s">
        <v>35</v>
      </c>
    </row>
    <row r="10" ht="22.5" customHeight="1">
      <c r="A10" s="30">
        <v>8.0</v>
      </c>
      <c r="B10" s="53">
        <v>1.0</v>
      </c>
      <c r="C10" s="30" t="s">
        <v>586</v>
      </c>
      <c r="D10" s="22" t="s">
        <v>45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0</v>
      </c>
      <c r="G10" s="20" t="s">
        <v>587</v>
      </c>
      <c r="H10" s="36" t="s">
        <v>156</v>
      </c>
      <c r="I10" s="10"/>
      <c r="J10" s="27"/>
      <c r="K10" s="12" t="s">
        <v>34</v>
      </c>
      <c r="L10" s="10"/>
      <c r="M10" s="27"/>
      <c r="N10" s="12"/>
      <c r="O10" s="10"/>
      <c r="P10" s="27"/>
      <c r="Q10" s="14"/>
      <c r="R10" s="10"/>
      <c r="S10" s="27"/>
      <c r="T10" s="12"/>
      <c r="U10" s="10"/>
      <c r="V10" s="27"/>
      <c r="W10" s="12"/>
      <c r="X10" s="10"/>
      <c r="Y10" s="27"/>
      <c r="Z10" s="56"/>
      <c r="AA10" s="12" t="s">
        <v>37</v>
      </c>
      <c r="AB10" s="10"/>
      <c r="AC10" s="27"/>
    </row>
    <row r="11" ht="22.5" customHeight="1">
      <c r="A11" s="30">
        <v>8.0</v>
      </c>
      <c r="B11" s="54">
        <v>1.0</v>
      </c>
      <c r="C11" s="33" t="s">
        <v>588</v>
      </c>
      <c r="D11" s="21" t="s">
        <v>45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0</v>
      </c>
      <c r="G11" s="20" t="s">
        <v>589</v>
      </c>
      <c r="H11" s="36" t="s">
        <v>156</v>
      </c>
      <c r="I11" s="10"/>
      <c r="J11" s="27"/>
      <c r="K11" s="12" t="s">
        <v>34</v>
      </c>
      <c r="L11" s="10"/>
      <c r="M11" s="27"/>
      <c r="N11" s="12"/>
      <c r="O11" s="10"/>
      <c r="P11" s="27"/>
      <c r="Q11" s="14"/>
      <c r="R11" s="10"/>
      <c r="S11" s="27"/>
      <c r="T11" s="12"/>
      <c r="U11" s="10"/>
      <c r="V11" s="27"/>
      <c r="W11" s="12"/>
      <c r="X11" s="10"/>
      <c r="Y11" s="27"/>
      <c r="Z11" s="56"/>
      <c r="AA11" s="12" t="s">
        <v>37</v>
      </c>
      <c r="AB11" s="10"/>
      <c r="AC11" s="27"/>
    </row>
    <row r="12" ht="22.5" customHeight="1">
      <c r="A12" s="30">
        <v>8.0</v>
      </c>
      <c r="B12" s="53">
        <v>1.0</v>
      </c>
      <c r="C12" s="30" t="s">
        <v>590</v>
      </c>
      <c r="D12" s="22" t="s">
        <v>45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0</v>
      </c>
      <c r="G12" s="23" t="s">
        <v>591</v>
      </c>
      <c r="H12" s="36" t="s">
        <v>156</v>
      </c>
      <c r="I12" s="10"/>
      <c r="J12" s="27"/>
      <c r="K12" s="12" t="s">
        <v>34</v>
      </c>
      <c r="L12" s="10"/>
      <c r="M12" s="27"/>
      <c r="N12" s="12"/>
      <c r="O12" s="10"/>
      <c r="P12" s="27"/>
      <c r="Q12" s="14"/>
      <c r="R12" s="10"/>
      <c r="S12" s="27"/>
      <c r="T12" s="12"/>
      <c r="U12" s="10"/>
      <c r="V12" s="27"/>
      <c r="W12" s="12"/>
      <c r="X12" s="10"/>
      <c r="Y12" s="27"/>
      <c r="Z12" s="37"/>
      <c r="AA12" s="12" t="s">
        <v>37</v>
      </c>
      <c r="AB12" s="10"/>
      <c r="AC12" s="27"/>
    </row>
    <row r="13" ht="22.5" customHeight="1">
      <c r="A13" s="30">
        <v>8.0</v>
      </c>
      <c r="B13" s="54">
        <v>1.0</v>
      </c>
      <c r="C13" s="33" t="s">
        <v>592</v>
      </c>
      <c r="D13" s="21" t="s">
        <v>45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0</v>
      </c>
      <c r="G13" s="18" t="s">
        <v>593</v>
      </c>
      <c r="H13" s="36" t="s">
        <v>156</v>
      </c>
      <c r="I13" s="10"/>
      <c r="J13" s="27"/>
      <c r="K13" s="12" t="s">
        <v>34</v>
      </c>
      <c r="L13" s="10"/>
      <c r="M13" s="27"/>
      <c r="N13" s="12"/>
      <c r="O13" s="10"/>
      <c r="P13" s="27"/>
      <c r="Q13" s="14"/>
      <c r="R13" s="10"/>
      <c r="S13" s="27"/>
      <c r="T13" s="12"/>
      <c r="U13" s="10"/>
      <c r="V13" s="27"/>
      <c r="W13" s="12"/>
      <c r="X13" s="10"/>
      <c r="Y13" s="27"/>
      <c r="Z13" s="37"/>
      <c r="AA13" s="12" t="s">
        <v>37</v>
      </c>
      <c r="AB13" s="10"/>
      <c r="AC13" s="27"/>
    </row>
    <row r="14" ht="22.5" customHeight="1">
      <c r="A14" s="30">
        <v>8.0</v>
      </c>
      <c r="B14" s="53">
        <v>1.0</v>
      </c>
      <c r="C14" s="30" t="s">
        <v>594</v>
      </c>
      <c r="D14" s="22" t="s">
        <v>56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0</v>
      </c>
      <c r="G14" s="18" t="s">
        <v>595</v>
      </c>
      <c r="H14" s="36" t="s">
        <v>156</v>
      </c>
      <c r="I14" s="10"/>
      <c r="J14" s="27"/>
      <c r="K14" s="12" t="s">
        <v>34</v>
      </c>
      <c r="L14" s="10"/>
      <c r="M14" s="27"/>
      <c r="N14" s="12"/>
      <c r="O14" s="10"/>
      <c r="P14" s="27"/>
      <c r="Q14" s="14"/>
      <c r="R14" s="10"/>
      <c r="S14" s="27"/>
      <c r="T14" s="12"/>
      <c r="U14" s="10"/>
      <c r="V14" s="27"/>
      <c r="W14" s="12"/>
      <c r="X14" s="10"/>
      <c r="Y14" s="27"/>
      <c r="Z14" s="37"/>
      <c r="AA14" s="12" t="s">
        <v>37</v>
      </c>
      <c r="AB14" s="10"/>
      <c r="AC14" s="27"/>
    </row>
    <row r="15" ht="22.5" customHeight="1">
      <c r="A15" s="30">
        <v>8.0</v>
      </c>
      <c r="B15" s="54">
        <v>1.0</v>
      </c>
      <c r="C15" s="33" t="s">
        <v>596</v>
      </c>
      <c r="D15" s="21" t="s">
        <v>60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0</v>
      </c>
      <c r="G15" s="18" t="s">
        <v>597</v>
      </c>
      <c r="H15" s="36" t="s">
        <v>156</v>
      </c>
      <c r="I15" s="10"/>
      <c r="J15" s="27"/>
      <c r="K15" s="12" t="s">
        <v>34</v>
      </c>
      <c r="L15" s="10"/>
      <c r="M15" s="27"/>
      <c r="N15" s="12"/>
      <c r="O15" s="10"/>
      <c r="P15" s="27"/>
      <c r="Q15" s="14"/>
      <c r="R15" s="10"/>
      <c r="S15" s="27"/>
      <c r="T15" s="12"/>
      <c r="U15" s="10"/>
      <c r="V15" s="27"/>
      <c r="W15" s="12"/>
      <c r="X15" s="10"/>
      <c r="Y15" s="27"/>
      <c r="Z15" s="37"/>
      <c r="AA15" s="12" t="s">
        <v>37</v>
      </c>
      <c r="AB15" s="10"/>
      <c r="AC15" s="27"/>
    </row>
    <row r="16" ht="22.5" customHeight="1">
      <c r="A16" s="30">
        <v>8.0</v>
      </c>
      <c r="B16" s="53">
        <v>1.0</v>
      </c>
      <c r="C16" s="30" t="s">
        <v>598</v>
      </c>
      <c r="D16" s="22" t="s">
        <v>64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0</v>
      </c>
      <c r="G16" s="23" t="s">
        <v>599</v>
      </c>
      <c r="H16" s="36" t="s">
        <v>156</v>
      </c>
      <c r="I16" s="10"/>
      <c r="J16" s="27"/>
      <c r="K16" s="12" t="s">
        <v>34</v>
      </c>
      <c r="L16" s="10"/>
      <c r="M16" s="27"/>
      <c r="N16" s="12"/>
      <c r="O16" s="10"/>
      <c r="P16" s="27"/>
      <c r="Q16" s="14"/>
      <c r="R16" s="10"/>
      <c r="S16" s="27"/>
      <c r="T16" s="12"/>
      <c r="U16" s="10"/>
      <c r="V16" s="27"/>
      <c r="W16" s="12"/>
      <c r="X16" s="10"/>
      <c r="Y16" s="27"/>
      <c r="Z16" s="37"/>
      <c r="AA16" s="12" t="s">
        <v>37</v>
      </c>
      <c r="AB16" s="10"/>
      <c r="AC16" s="27"/>
    </row>
    <row r="17" ht="22.5" customHeight="1">
      <c r="A17" s="30">
        <v>8.0</v>
      </c>
      <c r="B17" s="54">
        <v>2.0</v>
      </c>
      <c r="C17" s="33" t="s">
        <v>600</v>
      </c>
      <c r="D17" s="21" t="s">
        <v>30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0</v>
      </c>
      <c r="G17" s="18" t="s">
        <v>601</v>
      </c>
      <c r="H17" s="36" t="s">
        <v>156</v>
      </c>
      <c r="I17" s="10"/>
      <c r="J17" s="27"/>
      <c r="K17" s="12" t="s">
        <v>34</v>
      </c>
      <c r="L17" s="10"/>
      <c r="M17" s="27"/>
      <c r="N17" s="12"/>
      <c r="O17" s="10"/>
      <c r="P17" s="27"/>
      <c r="Q17" s="14"/>
      <c r="R17" s="10"/>
      <c r="S17" s="27"/>
      <c r="T17" s="12"/>
      <c r="U17" s="10"/>
      <c r="V17" s="27"/>
      <c r="W17" s="12"/>
      <c r="X17" s="10"/>
      <c r="Y17" s="27"/>
      <c r="Z17" s="37"/>
      <c r="AA17" s="12" t="s">
        <v>37</v>
      </c>
      <c r="AB17" s="10"/>
      <c r="AC17" s="27"/>
    </row>
    <row r="18" ht="22.5" customHeight="1">
      <c r="A18" s="30">
        <v>8.0</v>
      </c>
      <c r="B18" s="53">
        <v>2.0</v>
      </c>
      <c r="C18" s="30" t="s">
        <v>602</v>
      </c>
      <c r="D18" s="22" t="s">
        <v>30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0</v>
      </c>
      <c r="G18" s="18" t="s">
        <v>603</v>
      </c>
      <c r="H18" s="36" t="s">
        <v>156</v>
      </c>
      <c r="I18" s="10"/>
      <c r="J18" s="27"/>
      <c r="K18" s="12" t="s">
        <v>34</v>
      </c>
      <c r="L18" s="10"/>
      <c r="M18" s="27"/>
      <c r="N18" s="12"/>
      <c r="O18" s="10"/>
      <c r="P18" s="27"/>
      <c r="Q18" s="14"/>
      <c r="R18" s="10"/>
      <c r="S18" s="27"/>
      <c r="T18" s="12"/>
      <c r="U18" s="10"/>
      <c r="V18" s="27"/>
      <c r="W18" s="12"/>
      <c r="X18" s="10"/>
      <c r="Y18" s="27"/>
      <c r="Z18" s="37"/>
      <c r="AA18" s="12" t="s">
        <v>37</v>
      </c>
      <c r="AB18" s="10"/>
      <c r="AC18" s="11" t="s">
        <v>35</v>
      </c>
    </row>
    <row r="19" ht="22.5" customHeight="1">
      <c r="A19" s="30">
        <v>8.0</v>
      </c>
      <c r="B19" s="54">
        <v>2.0</v>
      </c>
      <c r="C19" s="33" t="s">
        <v>604</v>
      </c>
      <c r="D19" s="21" t="s">
        <v>30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0</v>
      </c>
      <c r="G19" s="18" t="s">
        <v>605</v>
      </c>
      <c r="H19" s="36" t="s">
        <v>156</v>
      </c>
      <c r="I19" s="10"/>
      <c r="J19" s="27"/>
      <c r="K19" s="12" t="s">
        <v>34</v>
      </c>
      <c r="L19" s="10"/>
      <c r="M19" s="27"/>
      <c r="N19" s="12"/>
      <c r="O19" s="10"/>
      <c r="P19" s="27"/>
      <c r="Q19" s="14"/>
      <c r="R19" s="10"/>
      <c r="S19" s="27"/>
      <c r="T19" s="12"/>
      <c r="U19" s="10"/>
      <c r="V19" s="27"/>
      <c r="W19" s="12"/>
      <c r="X19" s="10"/>
      <c r="Y19" s="27"/>
      <c r="Z19" s="37"/>
      <c r="AA19" s="12" t="s">
        <v>37</v>
      </c>
      <c r="AB19" s="10"/>
      <c r="AC19" s="27"/>
    </row>
    <row r="20" ht="22.5" customHeight="1">
      <c r="A20" s="30">
        <v>8.0</v>
      </c>
      <c r="B20" s="53">
        <v>2.0</v>
      </c>
      <c r="C20" s="30" t="s">
        <v>606</v>
      </c>
      <c r="D20" s="22" t="s">
        <v>45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0</v>
      </c>
      <c r="G20" s="18" t="s">
        <v>607</v>
      </c>
      <c r="H20" s="36" t="s">
        <v>156</v>
      </c>
      <c r="I20" s="10"/>
      <c r="J20" s="27"/>
      <c r="K20" s="12" t="s">
        <v>34</v>
      </c>
      <c r="L20" s="10"/>
      <c r="M20" s="27"/>
      <c r="N20" s="12"/>
      <c r="O20" s="10"/>
      <c r="P20" s="27"/>
      <c r="Q20" s="14"/>
      <c r="R20" s="10"/>
      <c r="S20" s="27"/>
      <c r="T20" s="12"/>
      <c r="U20" s="10"/>
      <c r="V20" s="27"/>
      <c r="W20" s="12"/>
      <c r="X20" s="10"/>
      <c r="Y20" s="27"/>
      <c r="Z20" s="37"/>
      <c r="AA20" s="12" t="s">
        <v>37</v>
      </c>
      <c r="AB20" s="10"/>
      <c r="AC20" s="27"/>
    </row>
    <row r="21" ht="22.5" customHeight="1">
      <c r="A21" s="30">
        <v>8.0</v>
      </c>
      <c r="B21" s="54">
        <v>2.0</v>
      </c>
      <c r="C21" s="33" t="s">
        <v>608</v>
      </c>
      <c r="D21" s="21" t="s">
        <v>45</v>
      </c>
      <c r="E21" s="7" t="str">
        <f>IFERROR(__xludf.DUMMYFUNCTION("IF(AND(F21 &gt; 0.3, F21 &lt; 0.5), SPARKLINE(F21,{""charttype"",""bar"";""color1"",""Gold"";""max"",1}),
IF(F21 = 1, SPARKLINE(F21,{""charttype"",""bar"";""color1"",""Lime"";""max"",1}),
IF(F21 &gt;= 0.5, SPARKLINE(F21,{""charttype"",""bar"";""color1"",""GreenYel"&amp;"low"";""max"",1}),
SPARKLINE(F21,{""charttype"",""bar"";""color1"",""DarkOrange"";""max"",1}))))"),"")</f>
        <v/>
      </c>
      <c r="F21" s="8">
        <f t="shared" si="1"/>
        <v>0</v>
      </c>
      <c r="G21" s="18" t="s">
        <v>609</v>
      </c>
      <c r="H21" s="36" t="s">
        <v>156</v>
      </c>
      <c r="I21" s="10"/>
      <c r="J21" s="27"/>
      <c r="K21" s="12" t="s">
        <v>34</v>
      </c>
      <c r="L21" s="10"/>
      <c r="M21" s="27"/>
      <c r="N21" s="12"/>
      <c r="O21" s="10"/>
      <c r="P21" s="27"/>
      <c r="Q21" s="14"/>
      <c r="R21" s="10"/>
      <c r="S21" s="27"/>
      <c r="T21" s="12"/>
      <c r="U21" s="10"/>
      <c r="V21" s="27"/>
      <c r="W21" s="12"/>
      <c r="X21" s="10"/>
      <c r="Y21" s="27"/>
      <c r="Z21" s="37"/>
      <c r="AA21" s="12" t="s">
        <v>37</v>
      </c>
      <c r="AB21" s="10"/>
      <c r="AC21" s="27"/>
    </row>
    <row r="22" ht="22.5" customHeight="1">
      <c r="A22" s="30">
        <v>8.0</v>
      </c>
      <c r="B22" s="53">
        <v>2.0</v>
      </c>
      <c r="C22" s="30" t="s">
        <v>610</v>
      </c>
      <c r="D22" s="22" t="s">
        <v>45</v>
      </c>
      <c r="E22" s="7" t="str">
        <f>IFERROR(__xludf.DUMMYFUNCTION("IF(AND(F22 &gt; 0.3, F22 &lt; 0.5), SPARKLINE(F22,{""charttype"",""bar"";""color1"",""Gold"";""max"",1}),
IF(F22 = 1, SPARKLINE(F22,{""charttype"",""bar"";""color1"",""Lime"";""max"",1}),
IF(F22 &gt;= 0.5, SPARKLINE(F22,{""charttype"",""bar"";""color1"",""GreenYel"&amp;"low"";""max"",1}),
SPARKLINE(F22,{""charttype"",""bar"";""color1"",""DarkOrange"";""max"",1}))))"),"")</f>
        <v/>
      </c>
      <c r="F22" s="8">
        <f t="shared" si="1"/>
        <v>0</v>
      </c>
      <c r="G22" s="18" t="s">
        <v>611</v>
      </c>
      <c r="H22" s="36" t="s">
        <v>156</v>
      </c>
      <c r="I22" s="10"/>
      <c r="J22" s="27"/>
      <c r="K22" s="12" t="s">
        <v>34</v>
      </c>
      <c r="L22" s="10"/>
      <c r="M22" s="27"/>
      <c r="N22" s="12"/>
      <c r="O22" s="10"/>
      <c r="P22" s="27"/>
      <c r="Q22" s="14"/>
      <c r="R22" s="10"/>
      <c r="S22" s="27"/>
      <c r="T22" s="12"/>
      <c r="U22" s="10"/>
      <c r="V22" s="27"/>
      <c r="W22" s="12"/>
      <c r="X22" s="10"/>
      <c r="Y22" s="27"/>
      <c r="Z22" s="37"/>
      <c r="AA22" s="12" t="s">
        <v>37</v>
      </c>
      <c r="AB22" s="10"/>
      <c r="AC22" s="27"/>
    </row>
    <row r="23" ht="22.5" customHeight="1">
      <c r="A23" s="30">
        <v>8.0</v>
      </c>
      <c r="B23" s="54">
        <v>2.0</v>
      </c>
      <c r="C23" s="33" t="s">
        <v>612</v>
      </c>
      <c r="D23" s="21" t="s">
        <v>56</v>
      </c>
      <c r="E23" s="7" t="str">
        <f>IFERROR(__xludf.DUMMYFUNCTION("IF(AND(F23 &gt; 0.3, F23 &lt; 0.5), SPARKLINE(F23,{""charttype"",""bar"";""color1"",""Gold"";""max"",1}),
IF(F23 = 1, SPARKLINE(F23,{""charttype"",""bar"";""color1"",""Lime"";""max"",1}),
IF(F23 &gt;= 0.5, SPARKLINE(F23,{""charttype"",""bar"";""color1"",""GreenYel"&amp;"low"";""max"",1}),
SPARKLINE(F23,{""charttype"",""bar"";""color1"",""DarkOrange"";""max"",1}))))"),"")</f>
        <v/>
      </c>
      <c r="F23" s="8">
        <f t="shared" si="1"/>
        <v>0</v>
      </c>
      <c r="G23" s="18" t="s">
        <v>613</v>
      </c>
      <c r="H23" s="36" t="s">
        <v>156</v>
      </c>
      <c r="I23" s="10"/>
      <c r="J23" s="27"/>
      <c r="K23" s="12" t="s">
        <v>34</v>
      </c>
      <c r="L23" s="10"/>
      <c r="M23" s="27"/>
      <c r="N23" s="12"/>
      <c r="O23" s="10"/>
      <c r="P23" s="27"/>
      <c r="Q23" s="14"/>
      <c r="R23" s="10"/>
      <c r="S23" s="27"/>
      <c r="T23" s="12"/>
      <c r="U23" s="10"/>
      <c r="V23" s="27"/>
      <c r="W23" s="12"/>
      <c r="X23" s="10"/>
      <c r="Y23" s="27"/>
      <c r="Z23" s="37"/>
      <c r="AA23" s="12" t="s">
        <v>37</v>
      </c>
      <c r="AB23" s="10"/>
      <c r="AC23" s="27"/>
    </row>
    <row r="24" ht="22.5" customHeight="1">
      <c r="A24" s="30">
        <v>8.0</v>
      </c>
      <c r="B24" s="53">
        <v>2.0</v>
      </c>
      <c r="C24" s="30" t="s">
        <v>614</v>
      </c>
      <c r="D24" s="22" t="s">
        <v>60</v>
      </c>
      <c r="E24" s="7" t="str">
        <f>IFERROR(__xludf.DUMMYFUNCTION("IF(AND(F24 &gt; 0.3, F24 &lt; 0.5), SPARKLINE(F24,{""charttype"",""bar"";""color1"",""Gold"";""max"",1}),
IF(F24 = 1, SPARKLINE(F24,{""charttype"",""bar"";""color1"",""Lime"";""max"",1}),
IF(F24 &gt;= 0.5, SPARKLINE(F24,{""charttype"",""bar"";""color1"",""GreenYel"&amp;"low"";""max"",1}),
SPARKLINE(F24,{""charttype"",""bar"";""color1"",""DarkOrange"";""max"",1}))))"),"")</f>
        <v/>
      </c>
      <c r="F24" s="8">
        <f t="shared" si="1"/>
        <v>0</v>
      </c>
      <c r="G24" s="18" t="s">
        <v>615</v>
      </c>
      <c r="H24" s="36" t="s">
        <v>156</v>
      </c>
      <c r="I24" s="10"/>
      <c r="J24" s="27"/>
      <c r="K24" s="12" t="s">
        <v>34</v>
      </c>
      <c r="L24" s="10"/>
      <c r="M24" s="27"/>
      <c r="N24" s="12"/>
      <c r="O24" s="10"/>
      <c r="P24" s="27"/>
      <c r="Q24" s="14"/>
      <c r="R24" s="10"/>
      <c r="S24" s="27"/>
      <c r="T24" s="12"/>
      <c r="U24" s="10"/>
      <c r="V24" s="27"/>
      <c r="W24" s="12"/>
      <c r="X24" s="10"/>
      <c r="Y24" s="27"/>
      <c r="Z24" s="37"/>
      <c r="AA24" s="12" t="s">
        <v>37</v>
      </c>
      <c r="AB24" s="10"/>
      <c r="AC24" s="27"/>
    </row>
    <row r="25" ht="22.5" customHeight="1">
      <c r="A25" s="30">
        <v>8.0</v>
      </c>
      <c r="B25" s="54">
        <v>3.0</v>
      </c>
      <c r="C25" s="33" t="s">
        <v>616</v>
      </c>
      <c r="D25" s="21" t="s">
        <v>30</v>
      </c>
      <c r="E25" s="7" t="str">
        <f>IFERROR(__xludf.DUMMYFUNCTION("IF(AND(F25 &gt; 0.3, F25 &lt; 0.5), SPARKLINE(F25,{""charttype"",""bar"";""color1"",""Gold"";""max"",1}),
IF(F25 = 1, SPARKLINE(F25,{""charttype"",""bar"";""color1"",""Lime"";""max"",1}),
IF(F25 &gt;= 0.5, SPARKLINE(F25,{""charttype"",""bar"";""color1"",""GreenYel"&amp;"low"";""max"",1}),
SPARKLINE(F25,{""charttype"",""bar"";""color1"",""DarkOrange"";""max"",1}))))"),"")</f>
        <v/>
      </c>
      <c r="F25" s="8">
        <f t="shared" si="1"/>
        <v>0</v>
      </c>
      <c r="G25" s="18" t="s">
        <v>617</v>
      </c>
      <c r="H25" s="36" t="s">
        <v>156</v>
      </c>
      <c r="I25" s="10"/>
      <c r="J25" s="27"/>
      <c r="K25" s="12" t="s">
        <v>34</v>
      </c>
      <c r="L25" s="10"/>
      <c r="M25" s="27"/>
      <c r="N25" s="12"/>
      <c r="O25" s="10"/>
      <c r="P25" s="27"/>
      <c r="Q25" s="14"/>
      <c r="R25" s="10"/>
      <c r="S25" s="27"/>
      <c r="T25" s="12"/>
      <c r="U25" s="10"/>
      <c r="V25" s="27"/>
      <c r="W25" s="12"/>
      <c r="X25" s="10"/>
      <c r="Y25" s="27"/>
      <c r="Z25" s="37"/>
      <c r="AA25" s="12" t="s">
        <v>37</v>
      </c>
      <c r="AB25" s="10"/>
      <c r="AC25" s="27"/>
    </row>
    <row r="26" ht="22.5" customHeight="1">
      <c r="A26" s="30">
        <v>8.0</v>
      </c>
      <c r="B26" s="53">
        <v>3.0</v>
      </c>
      <c r="C26" s="30" t="s">
        <v>618</v>
      </c>
      <c r="D26" s="22" t="s">
        <v>30</v>
      </c>
      <c r="E26" s="7" t="str">
        <f>IFERROR(__xludf.DUMMYFUNCTION("IF(AND(F26 &gt; 0.3, F26 &lt; 0.5), SPARKLINE(F26,{""charttype"",""bar"";""color1"",""Gold"";""max"",1}),
IF(F26 = 1, SPARKLINE(F26,{""charttype"",""bar"";""color1"",""Lime"";""max"",1}),
IF(F26 &gt;= 0.5, SPARKLINE(F26,{""charttype"",""bar"";""color1"",""GreenYel"&amp;"low"";""max"",1}),
SPARKLINE(F26,{""charttype"",""bar"";""color1"",""DarkOrange"";""max"",1}))))"),"")</f>
        <v/>
      </c>
      <c r="F26" s="8">
        <f t="shared" si="1"/>
        <v>0</v>
      </c>
      <c r="G26" s="18" t="s">
        <v>619</v>
      </c>
      <c r="H26" s="36" t="s">
        <v>156</v>
      </c>
      <c r="I26" s="10"/>
      <c r="J26" s="27"/>
      <c r="K26" s="12" t="s">
        <v>34</v>
      </c>
      <c r="L26" s="10"/>
      <c r="M26" s="27"/>
      <c r="N26" s="12"/>
      <c r="O26" s="10"/>
      <c r="P26" s="27"/>
      <c r="Q26" s="14"/>
      <c r="R26" s="10"/>
      <c r="S26" s="27"/>
      <c r="T26" s="12"/>
      <c r="U26" s="10"/>
      <c r="V26" s="27"/>
      <c r="W26" s="12"/>
      <c r="X26" s="10"/>
      <c r="Y26" s="27"/>
      <c r="Z26" s="37"/>
      <c r="AA26" s="12" t="s">
        <v>37</v>
      </c>
      <c r="AB26" s="10"/>
      <c r="AC26" s="27"/>
    </row>
    <row r="27" ht="22.5" customHeight="1">
      <c r="A27" s="30">
        <v>8.0</v>
      </c>
      <c r="B27" s="54">
        <v>3.0</v>
      </c>
      <c r="C27" s="33" t="s">
        <v>620</v>
      </c>
      <c r="D27" s="21" t="s">
        <v>30</v>
      </c>
      <c r="E27" s="7" t="str">
        <f>IFERROR(__xludf.DUMMYFUNCTION("IF(AND(F27 &gt; 0.3, F27 &lt; 0.5), SPARKLINE(F27,{""charttype"",""bar"";""color1"",""Gold"";""max"",1}),
IF(F27 = 1, SPARKLINE(F27,{""charttype"",""bar"";""color1"",""Lime"";""max"",1}),
IF(F27 &gt;= 0.5, SPARKLINE(F27,{""charttype"",""bar"";""color1"",""GreenYel"&amp;"low"";""max"",1}),
SPARKLINE(F27,{""charttype"",""bar"";""color1"",""DarkOrange"";""max"",1}))))"),"")</f>
        <v/>
      </c>
      <c r="F27" s="8">
        <f t="shared" si="1"/>
        <v>0</v>
      </c>
      <c r="G27" s="18" t="s">
        <v>621</v>
      </c>
      <c r="H27" s="36" t="s">
        <v>156</v>
      </c>
      <c r="I27" s="10"/>
      <c r="J27" s="27"/>
      <c r="K27" s="12" t="s">
        <v>34</v>
      </c>
      <c r="L27" s="10"/>
      <c r="M27" s="27"/>
      <c r="N27" s="12"/>
      <c r="O27" s="10"/>
      <c r="P27" s="27"/>
      <c r="Q27" s="14"/>
      <c r="R27" s="10"/>
      <c r="S27" s="27"/>
      <c r="T27" s="12"/>
      <c r="U27" s="10"/>
      <c r="V27" s="27"/>
      <c r="W27" s="12"/>
      <c r="X27" s="10"/>
      <c r="Y27" s="27"/>
      <c r="Z27" s="37"/>
      <c r="AA27" s="12" t="s">
        <v>37</v>
      </c>
      <c r="AB27" s="10"/>
      <c r="AC27" s="27"/>
    </row>
    <row r="28" ht="22.5" customHeight="1">
      <c r="A28" s="30">
        <v>8.0</v>
      </c>
      <c r="B28" s="53">
        <v>3.0</v>
      </c>
      <c r="C28" s="30" t="s">
        <v>622</v>
      </c>
      <c r="D28" s="22" t="s">
        <v>30</v>
      </c>
      <c r="E28" s="7" t="str">
        <f>IFERROR(__xludf.DUMMYFUNCTION("IF(AND(F28 &gt; 0.3, F28 &lt; 0.5), SPARKLINE(F28,{""charttype"",""bar"";""color1"",""Gold"";""max"",1}),
IF(F28 = 1, SPARKLINE(F28,{""charttype"",""bar"";""color1"",""Lime"";""max"",1}),
IF(F28 &gt;= 0.5, SPARKLINE(F28,{""charttype"",""bar"";""color1"",""GreenYel"&amp;"low"";""max"",1}),
SPARKLINE(F28,{""charttype"",""bar"";""color1"",""DarkOrange"";""max"",1}))))"),"")</f>
        <v/>
      </c>
      <c r="F28" s="8">
        <f t="shared" si="1"/>
        <v>0</v>
      </c>
      <c r="G28" s="18" t="s">
        <v>623</v>
      </c>
      <c r="H28" s="36" t="s">
        <v>156</v>
      </c>
      <c r="I28" s="10"/>
      <c r="J28" s="27"/>
      <c r="K28" s="12" t="s">
        <v>34</v>
      </c>
      <c r="L28" s="10"/>
      <c r="M28" s="27"/>
      <c r="N28" s="12"/>
      <c r="O28" s="10"/>
      <c r="P28" s="27"/>
      <c r="Q28" s="14"/>
      <c r="R28" s="10"/>
      <c r="S28" s="27"/>
      <c r="T28" s="12"/>
      <c r="U28" s="10"/>
      <c r="V28" s="27"/>
      <c r="W28" s="12"/>
      <c r="X28" s="10"/>
      <c r="Y28" s="27"/>
      <c r="Z28" s="37"/>
      <c r="AA28" s="12" t="s">
        <v>37</v>
      </c>
      <c r="AB28" s="10"/>
      <c r="AC28" s="27"/>
    </row>
    <row r="29" ht="22.5" customHeight="1">
      <c r="A29" s="30">
        <v>8.0</v>
      </c>
      <c r="B29" s="54">
        <v>3.0</v>
      </c>
      <c r="C29" s="33" t="s">
        <v>624</v>
      </c>
      <c r="D29" s="21" t="s">
        <v>30</v>
      </c>
      <c r="E29" s="7" t="str">
        <f>IFERROR(__xludf.DUMMYFUNCTION("IF(AND(F29 &gt; 0.3, F29 &lt; 0.5), SPARKLINE(F29,{""charttype"",""bar"";""color1"",""Gold"";""max"",1}),
IF(F29 = 1, SPARKLINE(F29,{""charttype"",""bar"";""color1"",""Lime"";""max"",1}),
IF(F29 &gt;= 0.5, SPARKLINE(F29,{""charttype"",""bar"";""color1"",""GreenYel"&amp;"low"";""max"",1}),
SPARKLINE(F29,{""charttype"",""bar"";""color1"",""DarkOrange"";""max"",1}))))"),"")</f>
        <v/>
      </c>
      <c r="F29" s="8">
        <f t="shared" si="1"/>
        <v>0</v>
      </c>
      <c r="G29" s="18" t="s">
        <v>625</v>
      </c>
      <c r="H29" s="36" t="s">
        <v>156</v>
      </c>
      <c r="I29" s="10"/>
      <c r="J29" s="27"/>
      <c r="K29" s="12" t="s">
        <v>34</v>
      </c>
      <c r="L29" s="10"/>
      <c r="M29" s="27"/>
      <c r="N29" s="12"/>
      <c r="O29" s="10"/>
      <c r="P29" s="27"/>
      <c r="Q29" s="14"/>
      <c r="R29" s="10"/>
      <c r="S29" s="27"/>
      <c r="T29" s="12"/>
      <c r="U29" s="10"/>
      <c r="V29" s="27"/>
      <c r="W29" s="12"/>
      <c r="X29" s="10"/>
      <c r="Y29" s="27"/>
      <c r="Z29" s="37"/>
      <c r="AA29" s="12" t="s">
        <v>37</v>
      </c>
      <c r="AB29" s="10"/>
      <c r="AC29" s="27"/>
    </row>
    <row r="30" ht="22.5" customHeight="1">
      <c r="A30" s="30">
        <v>8.0</v>
      </c>
      <c r="B30" s="53">
        <v>3.0</v>
      </c>
      <c r="C30" s="30" t="s">
        <v>626</v>
      </c>
      <c r="D30" s="22" t="s">
        <v>45</v>
      </c>
      <c r="E30" s="7" t="str">
        <f>IFERROR(__xludf.DUMMYFUNCTION("IF(AND(F30 &gt; 0.3, F30 &lt; 0.5), SPARKLINE(F30,{""charttype"",""bar"";""color1"",""Gold"";""max"",1}),
IF(F30 = 1, SPARKLINE(F30,{""charttype"",""bar"";""color1"",""Lime"";""max"",1}),
IF(F30 &gt;= 0.5, SPARKLINE(F30,{""charttype"",""bar"";""color1"",""GreenYel"&amp;"low"";""max"",1}),
SPARKLINE(F30,{""charttype"",""bar"";""color1"",""DarkOrange"";""max"",1}))))"),"")</f>
        <v/>
      </c>
      <c r="F30" s="8">
        <f t="shared" si="1"/>
        <v>0</v>
      </c>
      <c r="G30" s="18" t="s">
        <v>627</v>
      </c>
      <c r="H30" s="36" t="s">
        <v>156</v>
      </c>
      <c r="I30" s="10"/>
      <c r="J30" s="27"/>
      <c r="K30" s="12" t="s">
        <v>34</v>
      </c>
      <c r="L30" s="10"/>
      <c r="M30" s="27"/>
      <c r="N30" s="12"/>
      <c r="O30" s="10"/>
      <c r="P30" s="27"/>
      <c r="Q30" s="14"/>
      <c r="R30" s="10"/>
      <c r="S30" s="27"/>
      <c r="T30" s="12"/>
      <c r="U30" s="10"/>
      <c r="V30" s="27"/>
      <c r="W30" s="12"/>
      <c r="X30" s="10"/>
      <c r="Y30" s="27"/>
      <c r="Z30" s="37"/>
      <c r="AA30" s="12" t="s">
        <v>37</v>
      </c>
      <c r="AB30" s="10"/>
      <c r="AC30" s="27"/>
    </row>
    <row r="31" ht="22.5" customHeight="1">
      <c r="A31" s="30">
        <v>8.0</v>
      </c>
      <c r="B31" s="54">
        <v>3.0</v>
      </c>
      <c r="C31" s="33" t="s">
        <v>628</v>
      </c>
      <c r="D31" s="21" t="s">
        <v>45</v>
      </c>
      <c r="E31" s="7" t="str">
        <f>IFERROR(__xludf.DUMMYFUNCTION("IF(AND(F31 &gt; 0.3, F31 &lt; 0.5), SPARKLINE(F31,{""charttype"",""bar"";""color1"",""Gold"";""max"",1}),
IF(F31 = 1, SPARKLINE(F31,{""charttype"",""bar"";""color1"",""Lime"";""max"",1}),
IF(F31 &gt;= 0.5, SPARKLINE(F31,{""charttype"",""bar"";""color1"",""GreenYel"&amp;"low"";""max"",1}),
SPARKLINE(F31,{""charttype"",""bar"";""color1"",""DarkOrange"";""max"",1}))))"),"")</f>
        <v/>
      </c>
      <c r="F31" s="8">
        <f t="shared" si="1"/>
        <v>0</v>
      </c>
      <c r="G31" s="23" t="s">
        <v>629</v>
      </c>
      <c r="H31" s="36" t="s">
        <v>156</v>
      </c>
      <c r="I31" s="10"/>
      <c r="J31" s="27"/>
      <c r="K31" s="12" t="s">
        <v>34</v>
      </c>
      <c r="L31" s="10"/>
      <c r="M31" s="27"/>
      <c r="N31" s="12"/>
      <c r="O31" s="10"/>
      <c r="P31" s="27"/>
      <c r="Q31" s="14"/>
      <c r="R31" s="10"/>
      <c r="S31" s="27"/>
      <c r="T31" s="12"/>
      <c r="U31" s="10"/>
      <c r="V31" s="27"/>
      <c r="W31" s="12"/>
      <c r="X31" s="10"/>
      <c r="Y31" s="27"/>
      <c r="Z31" s="37"/>
      <c r="AA31" s="12" t="s">
        <v>37</v>
      </c>
      <c r="AB31" s="10"/>
      <c r="AC31" s="27"/>
    </row>
    <row r="32" ht="22.5" customHeight="1">
      <c r="A32" s="30">
        <v>8.0</v>
      </c>
      <c r="B32" s="53">
        <v>3.0</v>
      </c>
      <c r="C32" s="30" t="s">
        <v>630</v>
      </c>
      <c r="D32" s="22" t="s">
        <v>45</v>
      </c>
      <c r="E32" s="7" t="str">
        <f>IFERROR(__xludf.DUMMYFUNCTION("IF(AND(F32 &gt; 0.3, F32 &lt; 0.5), SPARKLINE(F32,{""charttype"",""bar"";""color1"",""Gold"";""max"",1}),
IF(F32 = 1, SPARKLINE(F32,{""charttype"",""bar"";""color1"",""Lime"";""max"",1}),
IF(F32 &gt;= 0.5, SPARKLINE(F32,{""charttype"",""bar"";""color1"",""GreenYel"&amp;"low"";""max"",1}),
SPARKLINE(F32,{""charttype"",""bar"";""color1"",""DarkOrange"";""max"",1}))))"),"")</f>
        <v/>
      </c>
      <c r="F32" s="8">
        <f t="shared" si="1"/>
        <v>0</v>
      </c>
      <c r="G32" s="18" t="s">
        <v>631</v>
      </c>
      <c r="H32" s="36" t="s">
        <v>156</v>
      </c>
      <c r="I32" s="10"/>
      <c r="J32" s="27"/>
      <c r="K32" s="12" t="s">
        <v>34</v>
      </c>
      <c r="L32" s="10"/>
      <c r="M32" s="27"/>
      <c r="N32" s="12"/>
      <c r="O32" s="10"/>
      <c r="P32" s="27"/>
      <c r="Q32" s="14"/>
      <c r="R32" s="10"/>
      <c r="S32" s="27"/>
      <c r="T32" s="12"/>
      <c r="U32" s="10"/>
      <c r="V32" s="27"/>
      <c r="W32" s="12"/>
      <c r="X32" s="10"/>
      <c r="Y32" s="27"/>
      <c r="Z32" s="37"/>
      <c r="AA32" s="12" t="s">
        <v>37</v>
      </c>
      <c r="AB32" s="10"/>
      <c r="AC32" s="27"/>
    </row>
    <row r="33" ht="22.5" customHeight="1">
      <c r="A33" s="30">
        <v>8.0</v>
      </c>
      <c r="B33" s="54">
        <v>3.0</v>
      </c>
      <c r="C33" s="33" t="s">
        <v>632</v>
      </c>
      <c r="D33" s="21" t="s">
        <v>45</v>
      </c>
      <c r="E33" s="7" t="str">
        <f>IFERROR(__xludf.DUMMYFUNCTION("IF(AND(F33 &gt; 0.3, F33 &lt; 0.5), SPARKLINE(F33,{""charttype"",""bar"";""color1"",""Gold"";""max"",1}),
IF(F33 = 1, SPARKLINE(F33,{""charttype"",""bar"";""color1"",""Lime"";""max"",1}),
IF(F33 &gt;= 0.5, SPARKLINE(F33,{""charttype"",""bar"";""color1"",""GreenYel"&amp;"low"";""max"",1}),
SPARKLINE(F33,{""charttype"",""bar"";""color1"",""DarkOrange"";""max"",1}))))"),"")</f>
        <v/>
      </c>
      <c r="F33" s="8">
        <f t="shared" si="1"/>
        <v>0</v>
      </c>
      <c r="G33" s="18" t="s">
        <v>633</v>
      </c>
      <c r="H33" s="36" t="s">
        <v>156</v>
      </c>
      <c r="I33" s="10"/>
      <c r="J33" s="27"/>
      <c r="K33" s="12" t="s">
        <v>34</v>
      </c>
      <c r="L33" s="10"/>
      <c r="M33" s="27"/>
      <c r="N33" s="12"/>
      <c r="O33" s="10"/>
      <c r="P33" s="27"/>
      <c r="Q33" s="14"/>
      <c r="R33" s="10"/>
      <c r="S33" s="27"/>
      <c r="T33" s="12"/>
      <c r="U33" s="10"/>
      <c r="V33" s="27"/>
      <c r="W33" s="12"/>
      <c r="X33" s="10"/>
      <c r="Y33" s="27"/>
      <c r="Z33" s="37"/>
      <c r="AA33" s="12" t="s">
        <v>37</v>
      </c>
      <c r="AB33" s="10"/>
      <c r="AC33" s="11" t="s">
        <v>35</v>
      </c>
    </row>
    <row r="34" ht="22.5" customHeight="1">
      <c r="A34" s="30">
        <v>8.0</v>
      </c>
      <c r="B34" s="53">
        <v>3.0</v>
      </c>
      <c r="C34" s="30" t="s">
        <v>634</v>
      </c>
      <c r="D34" s="22" t="s">
        <v>45</v>
      </c>
      <c r="E34" s="7" t="str">
        <f>IFERROR(__xludf.DUMMYFUNCTION("IF(AND(F34 &gt; 0.3, F34 &lt; 0.5), SPARKLINE(F34,{""charttype"",""bar"";""color1"",""Gold"";""max"",1}),
IF(F34 = 1, SPARKLINE(F34,{""charttype"",""bar"";""color1"",""Lime"";""max"",1}),
IF(F34 &gt;= 0.5, SPARKLINE(F34,{""charttype"",""bar"";""color1"",""GreenYel"&amp;"low"";""max"",1}),
SPARKLINE(F34,{""charttype"",""bar"";""color1"",""DarkOrange"";""max"",1}))))"),"")</f>
        <v/>
      </c>
      <c r="F34" s="8">
        <f t="shared" si="1"/>
        <v>0</v>
      </c>
      <c r="G34" s="18" t="s">
        <v>635</v>
      </c>
      <c r="H34" s="36" t="s">
        <v>156</v>
      </c>
      <c r="I34" s="10"/>
      <c r="J34" s="27"/>
      <c r="K34" s="12" t="s">
        <v>34</v>
      </c>
      <c r="L34" s="10"/>
      <c r="M34" s="27"/>
      <c r="N34" s="12"/>
      <c r="O34" s="10"/>
      <c r="P34" s="27"/>
      <c r="Q34" s="14"/>
      <c r="R34" s="10"/>
      <c r="S34" s="27"/>
      <c r="T34" s="12"/>
      <c r="U34" s="10"/>
      <c r="V34" s="27"/>
      <c r="W34" s="12"/>
      <c r="X34" s="10"/>
      <c r="Y34" s="27"/>
      <c r="Z34" s="37"/>
      <c r="AA34" s="12" t="s">
        <v>37</v>
      </c>
      <c r="AB34" s="10"/>
      <c r="AC34" s="27"/>
    </row>
    <row r="35" ht="22.5" customHeight="1">
      <c r="A35" s="30">
        <v>8.0</v>
      </c>
      <c r="B35" s="54">
        <v>3.0</v>
      </c>
      <c r="C35" s="33" t="s">
        <v>636</v>
      </c>
      <c r="D35" s="21" t="s">
        <v>56</v>
      </c>
      <c r="E35" s="7" t="str">
        <f>IFERROR(__xludf.DUMMYFUNCTION("IF(AND(F35 &gt; 0.3, F35 &lt; 0.5), SPARKLINE(F35,{""charttype"",""bar"";""color1"",""Gold"";""max"",1}),
IF(F35 = 1, SPARKLINE(F35,{""charttype"",""bar"";""color1"",""Lime"";""max"",1}),
IF(F35 &gt;= 0.5, SPARKLINE(F35,{""charttype"",""bar"";""color1"",""GreenYel"&amp;"low"";""max"",1}),
SPARKLINE(F35,{""charttype"",""bar"";""color1"",""DarkOrange"";""max"",1}))))"),"")</f>
        <v/>
      </c>
      <c r="F35" s="8">
        <f t="shared" si="1"/>
        <v>0</v>
      </c>
      <c r="G35" s="18" t="s">
        <v>637</v>
      </c>
      <c r="H35" s="36" t="s">
        <v>156</v>
      </c>
      <c r="I35" s="10"/>
      <c r="J35" s="27"/>
      <c r="K35" s="12" t="s">
        <v>34</v>
      </c>
      <c r="L35" s="10"/>
      <c r="M35" s="27"/>
      <c r="N35" s="12"/>
      <c r="O35" s="10"/>
      <c r="P35" s="27"/>
      <c r="Q35" s="14"/>
      <c r="R35" s="10"/>
      <c r="S35" s="27"/>
      <c r="T35" s="12"/>
      <c r="U35" s="10"/>
      <c r="V35" s="27"/>
      <c r="W35" s="12"/>
      <c r="X35" s="10"/>
      <c r="Y35" s="27"/>
      <c r="Z35" s="37"/>
      <c r="AA35" s="12" t="s">
        <v>37</v>
      </c>
      <c r="AB35" s="10"/>
      <c r="AC35" s="27"/>
    </row>
    <row r="36" ht="22.5" customHeight="1">
      <c r="A36" s="30">
        <v>8.0</v>
      </c>
      <c r="B36" s="53">
        <v>3.0</v>
      </c>
      <c r="C36" s="30" t="s">
        <v>638</v>
      </c>
      <c r="D36" s="22" t="s">
        <v>60</v>
      </c>
      <c r="E36" s="7" t="str">
        <f>IFERROR(__xludf.DUMMYFUNCTION("IF(AND(F36 &gt; 0.3, F36 &lt; 0.5), SPARKLINE(F36,{""charttype"",""bar"";""color1"",""Gold"";""max"",1}),
IF(F36 = 1, SPARKLINE(F36,{""charttype"",""bar"";""color1"",""Lime"";""max"",1}),
IF(F36 &gt;= 0.5, SPARKLINE(F36,{""charttype"",""bar"";""color1"",""GreenYel"&amp;"low"";""max"",1}),
SPARKLINE(F36,{""charttype"",""bar"";""color1"",""DarkOrange"";""max"",1}))))"),"")</f>
        <v/>
      </c>
      <c r="F36" s="8">
        <f t="shared" si="1"/>
        <v>0</v>
      </c>
      <c r="G36" s="18" t="s">
        <v>639</v>
      </c>
      <c r="H36" s="36" t="s">
        <v>156</v>
      </c>
      <c r="I36" s="10"/>
      <c r="J36" s="27"/>
      <c r="K36" s="12" t="s">
        <v>34</v>
      </c>
      <c r="L36" s="10"/>
      <c r="M36" s="27"/>
      <c r="N36" s="12"/>
      <c r="O36" s="10"/>
      <c r="P36" s="27"/>
      <c r="Q36" s="14"/>
      <c r="R36" s="10"/>
      <c r="S36" s="27"/>
      <c r="T36" s="12"/>
      <c r="U36" s="10"/>
      <c r="V36" s="27"/>
      <c r="W36" s="12"/>
      <c r="X36" s="10"/>
      <c r="Y36" s="27"/>
      <c r="Z36" s="37"/>
      <c r="AA36" s="12" t="s">
        <v>37</v>
      </c>
      <c r="AB36" s="10"/>
      <c r="AC36" s="27"/>
    </row>
    <row r="37" ht="22.5" customHeight="1">
      <c r="A37" s="30">
        <v>8.0</v>
      </c>
      <c r="B37" s="54">
        <v>4.0</v>
      </c>
      <c r="C37" s="33" t="s">
        <v>640</v>
      </c>
      <c r="D37" s="21" t="s">
        <v>30</v>
      </c>
      <c r="E37" s="7" t="str">
        <f>IFERROR(__xludf.DUMMYFUNCTION("IF(AND(F37 &gt; 0.3, F37 &lt; 0.5), SPARKLINE(F37,{""charttype"",""bar"";""color1"",""Gold"";""max"",1}),
IF(F37 = 1, SPARKLINE(F37,{""charttype"",""bar"";""color1"",""Lime"";""max"",1}),
IF(F37 &gt;= 0.5, SPARKLINE(F37,{""charttype"",""bar"";""color1"",""GreenYel"&amp;"low"";""max"",1}),
SPARKLINE(F37,{""charttype"",""bar"";""color1"",""DarkOrange"";""max"",1}))))"),"")</f>
        <v/>
      </c>
      <c r="F37" s="8">
        <f t="shared" si="1"/>
        <v>0</v>
      </c>
      <c r="G37" s="18" t="s">
        <v>641</v>
      </c>
      <c r="H37" s="36" t="s">
        <v>156</v>
      </c>
      <c r="I37" s="10"/>
      <c r="J37" s="27"/>
      <c r="K37" s="12" t="s">
        <v>34</v>
      </c>
      <c r="L37" s="10"/>
      <c r="M37" s="27"/>
      <c r="N37" s="12"/>
      <c r="O37" s="10"/>
      <c r="P37" s="27"/>
      <c r="Q37" s="14"/>
      <c r="R37" s="10"/>
      <c r="S37" s="27"/>
      <c r="T37" s="12"/>
      <c r="U37" s="10"/>
      <c r="V37" s="27"/>
      <c r="W37" s="12"/>
      <c r="X37" s="10"/>
      <c r="Y37" s="27"/>
      <c r="Z37" s="37"/>
      <c r="AA37" s="12" t="s">
        <v>37</v>
      </c>
      <c r="AB37" s="10"/>
      <c r="AC37" s="27"/>
    </row>
    <row r="38" ht="22.5" customHeight="1">
      <c r="A38" s="30">
        <v>8.0</v>
      </c>
      <c r="B38" s="53">
        <v>4.0</v>
      </c>
      <c r="C38" s="30" t="s">
        <v>642</v>
      </c>
      <c r="D38" s="22" t="s">
        <v>30</v>
      </c>
      <c r="E38" s="7" t="str">
        <f>IFERROR(__xludf.DUMMYFUNCTION("IF(AND(F38 &gt; 0.3, F38 &lt; 0.5), SPARKLINE(F38,{""charttype"",""bar"";""color1"",""Gold"";""max"",1}),
IF(F38 = 1, SPARKLINE(F38,{""charttype"",""bar"";""color1"",""Lime"";""max"",1}),
IF(F38 &gt;= 0.5, SPARKLINE(F38,{""charttype"",""bar"";""color1"",""GreenYel"&amp;"low"";""max"",1}),
SPARKLINE(F38,{""charttype"",""bar"";""color1"",""DarkOrange"";""max"",1}))))"),"")</f>
        <v/>
      </c>
      <c r="F38" s="8">
        <f t="shared" si="1"/>
        <v>0</v>
      </c>
      <c r="G38" s="18" t="s">
        <v>643</v>
      </c>
      <c r="H38" s="36" t="s">
        <v>156</v>
      </c>
      <c r="I38" s="10"/>
      <c r="J38" s="27"/>
      <c r="K38" s="12" t="s">
        <v>34</v>
      </c>
      <c r="L38" s="10"/>
      <c r="M38" s="27"/>
      <c r="N38" s="12"/>
      <c r="O38" s="10"/>
      <c r="P38" s="27"/>
      <c r="Q38" s="14"/>
      <c r="R38" s="10"/>
      <c r="S38" s="27"/>
      <c r="T38" s="12"/>
      <c r="U38" s="10"/>
      <c r="V38" s="27"/>
      <c r="W38" s="12"/>
      <c r="X38" s="10"/>
      <c r="Y38" s="27"/>
      <c r="Z38" s="37"/>
      <c r="AA38" s="12" t="s">
        <v>37</v>
      </c>
      <c r="AB38" s="10"/>
      <c r="AC38" s="27"/>
    </row>
    <row r="39" ht="22.5" customHeight="1">
      <c r="A39" s="30">
        <v>8.0</v>
      </c>
      <c r="B39" s="54">
        <v>4.0</v>
      </c>
      <c r="C39" s="33" t="s">
        <v>644</v>
      </c>
      <c r="D39" s="21" t="s">
        <v>30</v>
      </c>
      <c r="E39" s="7" t="str">
        <f>IFERROR(__xludf.DUMMYFUNCTION("IF(AND(F39 &gt; 0.3, F39 &lt; 0.5), SPARKLINE(F39,{""charttype"",""bar"";""color1"",""Gold"";""max"",1}),
IF(F39 = 1, SPARKLINE(F39,{""charttype"",""bar"";""color1"",""Lime"";""max"",1}),
IF(F39 &gt;= 0.5, SPARKLINE(F39,{""charttype"",""bar"";""color1"",""GreenYel"&amp;"low"";""max"",1}),
SPARKLINE(F39,{""charttype"",""bar"";""color1"",""DarkOrange"";""max"",1}))))"),"")</f>
        <v/>
      </c>
      <c r="F39" s="8">
        <f t="shared" si="1"/>
        <v>0</v>
      </c>
      <c r="G39" s="18" t="s">
        <v>645</v>
      </c>
      <c r="H39" s="36" t="s">
        <v>156</v>
      </c>
      <c r="I39" s="10"/>
      <c r="J39" s="27"/>
      <c r="K39" s="12" t="s">
        <v>34</v>
      </c>
      <c r="L39" s="10"/>
      <c r="M39" s="27"/>
      <c r="N39" s="12"/>
      <c r="O39" s="10"/>
      <c r="P39" s="27"/>
      <c r="Q39" s="14"/>
      <c r="R39" s="10"/>
      <c r="S39" s="27"/>
      <c r="T39" s="12"/>
      <c r="U39" s="10"/>
      <c r="V39" s="27"/>
      <c r="W39" s="12"/>
      <c r="X39" s="10"/>
      <c r="Y39" s="27"/>
      <c r="Z39" s="37"/>
      <c r="AA39" s="12" t="s">
        <v>37</v>
      </c>
      <c r="AB39" s="10"/>
      <c r="AC39" s="27"/>
    </row>
    <row r="40" ht="22.5" customHeight="1">
      <c r="A40" s="30">
        <v>8.0</v>
      </c>
      <c r="B40" s="53">
        <v>4.0</v>
      </c>
      <c r="C40" s="30" t="s">
        <v>646</v>
      </c>
      <c r="D40" s="22" t="s">
        <v>30</v>
      </c>
      <c r="E40" s="7" t="str">
        <f>IFERROR(__xludf.DUMMYFUNCTION("IF(AND(F40 &gt; 0.3, F40 &lt; 0.5), SPARKLINE(F40,{""charttype"",""bar"";""color1"",""Gold"";""max"",1}),
IF(F40 = 1, SPARKLINE(F40,{""charttype"",""bar"";""color1"",""Lime"";""max"",1}),
IF(F40 &gt;= 0.5, SPARKLINE(F40,{""charttype"",""bar"";""color1"",""GreenYel"&amp;"low"";""max"",1}),
SPARKLINE(F40,{""charttype"",""bar"";""color1"",""DarkOrange"";""max"",1}))))"),"")</f>
        <v/>
      </c>
      <c r="F40" s="8">
        <f t="shared" si="1"/>
        <v>0</v>
      </c>
      <c r="G40" s="18" t="s">
        <v>647</v>
      </c>
      <c r="H40" s="36" t="s">
        <v>156</v>
      </c>
      <c r="I40" s="10"/>
      <c r="J40" s="27"/>
      <c r="K40" s="12" t="s">
        <v>34</v>
      </c>
      <c r="L40" s="10"/>
      <c r="M40" s="27"/>
      <c r="N40" s="12"/>
      <c r="O40" s="10"/>
      <c r="P40" s="27"/>
      <c r="Q40" s="14"/>
      <c r="R40" s="10"/>
      <c r="S40" s="27"/>
      <c r="T40" s="12"/>
      <c r="U40" s="10"/>
      <c r="V40" s="27"/>
      <c r="W40" s="12"/>
      <c r="X40" s="10"/>
      <c r="Y40" s="27"/>
      <c r="Z40" s="37"/>
      <c r="AA40" s="12" t="s">
        <v>37</v>
      </c>
      <c r="AB40" s="10"/>
      <c r="AC40" s="27"/>
    </row>
    <row r="41" ht="22.5" customHeight="1">
      <c r="A41" s="30">
        <v>8.0</v>
      </c>
      <c r="B41" s="54">
        <v>4.0</v>
      </c>
      <c r="C41" s="33" t="s">
        <v>648</v>
      </c>
      <c r="D41" s="21" t="s">
        <v>30</v>
      </c>
      <c r="E41" s="7" t="str">
        <f>IFERROR(__xludf.DUMMYFUNCTION("IF(AND(F41 &gt; 0.3, F41 &lt; 0.5), SPARKLINE(F41,{""charttype"",""bar"";""color1"",""Gold"";""max"",1}),
IF(F41 = 1, SPARKLINE(F41,{""charttype"",""bar"";""color1"",""Lime"";""max"",1}),
IF(F41 &gt;= 0.5, SPARKLINE(F41,{""charttype"",""bar"";""color1"",""GreenYel"&amp;"low"";""max"",1}),
SPARKLINE(F41,{""charttype"",""bar"";""color1"",""DarkOrange"";""max"",1}))))"),"")</f>
        <v/>
      </c>
      <c r="F41" s="8">
        <f t="shared" si="1"/>
        <v>0</v>
      </c>
      <c r="G41" s="18" t="s">
        <v>649</v>
      </c>
      <c r="H41" s="36" t="s">
        <v>156</v>
      </c>
      <c r="I41" s="10"/>
      <c r="J41" s="27"/>
      <c r="K41" s="12" t="s">
        <v>34</v>
      </c>
      <c r="L41" s="10"/>
      <c r="M41" s="27"/>
      <c r="N41" s="12"/>
      <c r="O41" s="10"/>
      <c r="P41" s="27"/>
      <c r="Q41" s="14"/>
      <c r="R41" s="10"/>
      <c r="S41" s="27"/>
      <c r="T41" s="12"/>
      <c r="U41" s="10"/>
      <c r="V41" s="27"/>
      <c r="W41" s="12"/>
      <c r="X41" s="10"/>
      <c r="Y41" s="27"/>
      <c r="Z41" s="37"/>
      <c r="AA41" s="12" t="s">
        <v>37</v>
      </c>
      <c r="AB41" s="10"/>
      <c r="AC41" s="27"/>
    </row>
    <row r="42" ht="22.5" customHeight="1">
      <c r="A42" s="30">
        <v>8.0</v>
      </c>
      <c r="B42" s="53">
        <v>4.0</v>
      </c>
      <c r="C42" s="30" t="s">
        <v>650</v>
      </c>
      <c r="D42" s="22" t="s">
        <v>45</v>
      </c>
      <c r="E42" s="7" t="str">
        <f>IFERROR(__xludf.DUMMYFUNCTION("IF(AND(F42 &gt; 0.3, F42 &lt; 0.5), SPARKLINE(F42,{""charttype"",""bar"";""color1"",""Gold"";""max"",1}),
IF(F42 = 1, SPARKLINE(F42,{""charttype"",""bar"";""color1"",""Lime"";""max"",1}),
IF(F42 &gt;= 0.5, SPARKLINE(F42,{""charttype"",""bar"";""color1"",""GreenYel"&amp;"low"";""max"",1}),
SPARKLINE(F42,{""charttype"",""bar"";""color1"",""DarkOrange"";""max"",1}))))"),"")</f>
        <v/>
      </c>
      <c r="F42" s="8">
        <f t="shared" si="1"/>
        <v>0</v>
      </c>
      <c r="G42" s="23" t="s">
        <v>651</v>
      </c>
      <c r="H42" s="36" t="s">
        <v>156</v>
      </c>
      <c r="I42" s="10"/>
      <c r="J42" s="27"/>
      <c r="K42" s="12" t="s">
        <v>34</v>
      </c>
      <c r="L42" s="10"/>
      <c r="M42" s="27"/>
      <c r="N42" s="12"/>
      <c r="O42" s="10"/>
      <c r="P42" s="27"/>
      <c r="Q42" s="14"/>
      <c r="R42" s="10"/>
      <c r="S42" s="27"/>
      <c r="T42" s="12"/>
      <c r="U42" s="10"/>
      <c r="V42" s="27"/>
      <c r="W42" s="12"/>
      <c r="X42" s="10"/>
      <c r="Y42" s="27"/>
      <c r="Z42" s="37"/>
      <c r="AA42" s="12" t="s">
        <v>37</v>
      </c>
      <c r="AB42" s="10"/>
      <c r="AC42" s="27"/>
    </row>
    <row r="43" ht="22.5" customHeight="1">
      <c r="A43" s="30">
        <v>8.0</v>
      </c>
      <c r="B43" s="54">
        <v>4.0</v>
      </c>
      <c r="C43" s="33" t="s">
        <v>652</v>
      </c>
      <c r="D43" s="21" t="s">
        <v>45</v>
      </c>
      <c r="E43" s="7" t="str">
        <f>IFERROR(__xludf.DUMMYFUNCTION("IF(AND(F43 &gt; 0.3, F43 &lt; 0.5), SPARKLINE(F43,{""charttype"",""bar"";""color1"",""Gold"";""max"",1}),
IF(F43 = 1, SPARKLINE(F43,{""charttype"",""bar"";""color1"",""Lime"";""max"",1}),
IF(F43 &gt;= 0.5, SPARKLINE(F43,{""charttype"",""bar"";""color1"",""GreenYel"&amp;"low"";""max"",1}),
SPARKLINE(F43,{""charttype"",""bar"";""color1"",""DarkOrange"";""max"",1}))))"),"")</f>
        <v/>
      </c>
      <c r="F43" s="8">
        <f t="shared" si="1"/>
        <v>0</v>
      </c>
      <c r="G43" s="18" t="s">
        <v>653</v>
      </c>
      <c r="H43" s="36" t="s">
        <v>156</v>
      </c>
      <c r="I43" s="10"/>
      <c r="J43" s="27"/>
      <c r="K43" s="12" t="s">
        <v>34</v>
      </c>
      <c r="L43" s="10"/>
      <c r="M43" s="27"/>
      <c r="N43" s="12"/>
      <c r="O43" s="10"/>
      <c r="P43" s="27"/>
      <c r="Q43" s="14"/>
      <c r="R43" s="10"/>
      <c r="S43" s="27"/>
      <c r="T43" s="12"/>
      <c r="U43" s="10"/>
      <c r="V43" s="27"/>
      <c r="W43" s="12"/>
      <c r="X43" s="10"/>
      <c r="Y43" s="27"/>
      <c r="Z43" s="37"/>
      <c r="AA43" s="12" t="s">
        <v>37</v>
      </c>
      <c r="AB43" s="10"/>
      <c r="AC43" s="27"/>
    </row>
    <row r="44" ht="22.5" customHeight="1">
      <c r="A44" s="30">
        <v>8.0</v>
      </c>
      <c r="B44" s="53">
        <v>4.0</v>
      </c>
      <c r="C44" s="30" t="s">
        <v>654</v>
      </c>
      <c r="D44" s="22" t="s">
        <v>45</v>
      </c>
      <c r="E44" s="7" t="str">
        <f>IFERROR(__xludf.DUMMYFUNCTION("IF(AND(F44 &gt; 0.3, F44 &lt; 0.5), SPARKLINE(F44,{""charttype"",""bar"";""color1"",""Gold"";""max"",1}),
IF(F44 = 1, SPARKLINE(F44,{""charttype"",""bar"";""color1"",""Lime"";""max"",1}),
IF(F44 &gt;= 0.5, SPARKLINE(F44,{""charttype"",""bar"";""color1"",""GreenYel"&amp;"low"";""max"",1}),
SPARKLINE(F44,{""charttype"",""bar"";""color1"",""DarkOrange"";""max"",1}))))"),"")</f>
        <v/>
      </c>
      <c r="F44" s="8">
        <f t="shared" si="1"/>
        <v>0</v>
      </c>
      <c r="G44" s="18" t="s">
        <v>655</v>
      </c>
      <c r="H44" s="36" t="s">
        <v>156</v>
      </c>
      <c r="I44" s="10"/>
      <c r="J44" s="27"/>
      <c r="K44" s="12" t="s">
        <v>34</v>
      </c>
      <c r="L44" s="10"/>
      <c r="M44" s="27"/>
      <c r="N44" s="12"/>
      <c r="O44" s="10"/>
      <c r="P44" s="27"/>
      <c r="Q44" s="14"/>
      <c r="R44" s="10"/>
      <c r="S44" s="27"/>
      <c r="T44" s="12"/>
      <c r="U44" s="10"/>
      <c r="V44" s="27"/>
      <c r="W44" s="12"/>
      <c r="X44" s="10"/>
      <c r="Y44" s="27"/>
      <c r="Z44" s="37"/>
      <c r="AA44" s="12" t="s">
        <v>37</v>
      </c>
      <c r="AB44" s="10"/>
      <c r="AC44" s="11"/>
    </row>
    <row r="45" ht="22.5" customHeight="1">
      <c r="A45" s="30">
        <v>8.0</v>
      </c>
      <c r="B45" s="53">
        <v>4.0</v>
      </c>
      <c r="C45" s="30" t="s">
        <v>656</v>
      </c>
      <c r="D45" s="22" t="s">
        <v>45</v>
      </c>
      <c r="E45" s="7" t="str">
        <f>IFERROR(__xludf.DUMMYFUNCTION("IF(AND(F45 &gt; 0.3, F45 &lt; 0.5), SPARKLINE(F45,{""charttype"",""bar"";""color1"",""Gold"";""max"",1}),
IF(F45 = 1, SPARKLINE(F45,{""charttype"",""bar"";""color1"",""Lime"";""max"",1}),
IF(F45 &gt;= 0.5, SPARKLINE(F45,{""charttype"",""bar"";""color1"",""GreenYel"&amp;"low"";""max"",1}),
SPARKLINE(F45,{""charttype"",""bar"";""color1"",""DarkOrange"";""max"",1}))))"),"")</f>
        <v/>
      </c>
      <c r="F45" s="8">
        <f t="shared" si="1"/>
        <v>0</v>
      </c>
      <c r="G45" s="18" t="s">
        <v>657</v>
      </c>
      <c r="H45" s="36" t="s">
        <v>156</v>
      </c>
      <c r="I45" s="10"/>
      <c r="J45" s="27"/>
      <c r="K45" s="12" t="s">
        <v>34</v>
      </c>
      <c r="L45" s="10"/>
      <c r="M45" s="27"/>
      <c r="N45" s="12"/>
      <c r="O45" s="10"/>
      <c r="P45" s="27"/>
      <c r="Q45" s="14"/>
      <c r="R45" s="10"/>
      <c r="S45" s="27"/>
      <c r="T45" s="12"/>
      <c r="U45" s="10"/>
      <c r="V45" s="27"/>
      <c r="W45" s="12"/>
      <c r="X45" s="10"/>
      <c r="Y45" s="27"/>
      <c r="Z45" s="37"/>
      <c r="AA45" s="12" t="s">
        <v>37</v>
      </c>
      <c r="AB45" s="10"/>
      <c r="AC45" s="27"/>
    </row>
    <row r="46" ht="22.5" customHeight="1">
      <c r="A46" s="30">
        <v>8.0</v>
      </c>
      <c r="B46" s="53">
        <v>4.0</v>
      </c>
      <c r="C46" s="30" t="s">
        <v>658</v>
      </c>
      <c r="D46" s="22" t="s">
        <v>45</v>
      </c>
      <c r="E46" s="7" t="str">
        <f>IFERROR(__xludf.DUMMYFUNCTION("IF(AND(F46 &gt; 0.3, F46 &lt; 0.5), SPARKLINE(F46,{""charttype"",""bar"";""color1"",""Gold"";""max"",1}),
IF(F46 = 1, SPARKLINE(F46,{""charttype"",""bar"";""color1"",""Lime"";""max"",1}),
IF(F46 &gt;= 0.5, SPARKLINE(F46,{""charttype"",""bar"";""color1"",""GreenYel"&amp;"low"";""max"",1}),
SPARKLINE(F46,{""charttype"",""bar"";""color1"",""DarkOrange"";""max"",1}))))"),"")</f>
        <v/>
      </c>
      <c r="F46" s="8">
        <f t="shared" si="1"/>
        <v>0</v>
      </c>
      <c r="G46" s="18" t="s">
        <v>659</v>
      </c>
      <c r="H46" s="36" t="s">
        <v>156</v>
      </c>
      <c r="I46" s="10"/>
      <c r="J46" s="27"/>
      <c r="K46" s="12" t="s">
        <v>34</v>
      </c>
      <c r="L46" s="10"/>
      <c r="M46" s="27"/>
      <c r="N46" s="12"/>
      <c r="O46" s="10"/>
      <c r="P46" s="27"/>
      <c r="Q46" s="14"/>
      <c r="R46" s="10"/>
      <c r="S46" s="27"/>
      <c r="T46" s="12"/>
      <c r="U46" s="10"/>
      <c r="V46" s="27"/>
      <c r="W46" s="12"/>
      <c r="X46" s="10"/>
      <c r="Y46" s="27"/>
      <c r="Z46" s="37"/>
      <c r="AA46" s="12" t="s">
        <v>37</v>
      </c>
      <c r="AB46" s="10"/>
      <c r="AC46" s="27"/>
    </row>
    <row r="47" ht="22.5" customHeight="1">
      <c r="A47" s="30">
        <v>8.0</v>
      </c>
      <c r="B47" s="53">
        <v>4.0</v>
      </c>
      <c r="C47" s="30" t="s">
        <v>660</v>
      </c>
      <c r="D47" s="22" t="s">
        <v>56</v>
      </c>
      <c r="E47" s="7" t="str">
        <f>IFERROR(__xludf.DUMMYFUNCTION("IF(AND(F47 &gt; 0.3, F47 &lt; 0.5), SPARKLINE(F47,{""charttype"",""bar"";""color1"",""Gold"";""max"",1}),
IF(F47 = 1, SPARKLINE(F47,{""charttype"",""bar"";""color1"",""Lime"";""max"",1}),
IF(F47 &gt;= 0.5, SPARKLINE(F47,{""charttype"",""bar"";""color1"",""GreenYel"&amp;"low"";""max"",1}),
SPARKLINE(F47,{""charttype"",""bar"";""color1"",""DarkOrange"";""max"",1}))))"),"")</f>
        <v/>
      </c>
      <c r="F47" s="8">
        <f t="shared" si="1"/>
        <v>0</v>
      </c>
      <c r="G47" s="18" t="s">
        <v>661</v>
      </c>
      <c r="H47" s="36" t="s">
        <v>156</v>
      </c>
      <c r="I47" s="10"/>
      <c r="J47" s="27"/>
      <c r="K47" s="12" t="s">
        <v>34</v>
      </c>
      <c r="L47" s="10"/>
      <c r="M47" s="27"/>
      <c r="N47" s="12"/>
      <c r="O47" s="10"/>
      <c r="P47" s="27"/>
      <c r="Q47" s="14"/>
      <c r="R47" s="10"/>
      <c r="S47" s="27"/>
      <c r="T47" s="12"/>
      <c r="U47" s="10"/>
      <c r="V47" s="27"/>
      <c r="W47" s="12"/>
      <c r="X47" s="10"/>
      <c r="Y47" s="27"/>
      <c r="Z47" s="37"/>
      <c r="AA47" s="12" t="s">
        <v>37</v>
      </c>
      <c r="AB47" s="10"/>
      <c r="AC47" s="27"/>
    </row>
    <row r="48" ht="22.5" customHeight="1">
      <c r="A48" s="30">
        <v>8.0</v>
      </c>
      <c r="B48" s="53">
        <v>4.0</v>
      </c>
      <c r="C48" s="30" t="s">
        <v>662</v>
      </c>
      <c r="D48" s="22" t="s">
        <v>60</v>
      </c>
      <c r="E48" s="7" t="str">
        <f>IFERROR(__xludf.DUMMYFUNCTION("IF(AND(F48 &gt; 0.3, F48 &lt; 0.5), SPARKLINE(F48,{""charttype"",""bar"";""color1"",""Gold"";""max"",1}),
IF(F48 = 1, SPARKLINE(F48,{""charttype"",""bar"";""color1"",""Lime"";""max"",1}),
IF(F48 &gt;= 0.5, SPARKLINE(F48,{""charttype"",""bar"";""color1"",""GreenYel"&amp;"low"";""max"",1}),
SPARKLINE(F48,{""charttype"",""bar"";""color1"",""DarkOrange"";""max"",1}))))"),"")</f>
        <v/>
      </c>
      <c r="F48" s="8">
        <f t="shared" si="1"/>
        <v>0</v>
      </c>
      <c r="G48" s="18" t="s">
        <v>663</v>
      </c>
      <c r="H48" s="36" t="s">
        <v>156</v>
      </c>
      <c r="I48" s="10"/>
      <c r="J48" s="27"/>
      <c r="K48" s="12" t="s">
        <v>34</v>
      </c>
      <c r="L48" s="10"/>
      <c r="M48" s="27"/>
      <c r="N48" s="12"/>
      <c r="O48" s="10"/>
      <c r="P48" s="27"/>
      <c r="Q48" s="14"/>
      <c r="R48" s="10"/>
      <c r="S48" s="27"/>
      <c r="T48" s="12"/>
      <c r="U48" s="10"/>
      <c r="V48" s="27"/>
      <c r="W48" s="12"/>
      <c r="X48" s="10"/>
      <c r="Y48" s="27"/>
      <c r="Z48" s="37"/>
      <c r="AA48" s="12" t="s">
        <v>37</v>
      </c>
      <c r="AB48" s="10"/>
      <c r="AC48" s="27"/>
    </row>
    <row r="49" ht="22.5" customHeight="1">
      <c r="A49" s="30">
        <v>8.0</v>
      </c>
      <c r="B49" s="53">
        <v>5.0</v>
      </c>
      <c r="C49" s="30" t="s">
        <v>664</v>
      </c>
      <c r="D49" s="22" t="s">
        <v>30</v>
      </c>
      <c r="E49" s="7" t="str">
        <f>IFERROR(__xludf.DUMMYFUNCTION("IF(AND(F49 &gt; 0.3, F49 &lt; 0.5), SPARKLINE(F49,{""charttype"",""bar"";""color1"",""Gold"";""max"",1}),
IF(F49 = 1, SPARKLINE(F49,{""charttype"",""bar"";""color1"",""Lime"";""max"",1}),
IF(F49 &gt;= 0.5, SPARKLINE(F49,{""charttype"",""bar"";""color1"",""GreenYel"&amp;"low"";""max"",1}),
SPARKLINE(F49,{""charttype"",""bar"";""color1"",""DarkOrange"";""max"",1}))))"),"")</f>
        <v/>
      </c>
      <c r="F49" s="8">
        <f t="shared" si="1"/>
        <v>0</v>
      </c>
      <c r="G49" s="18" t="s">
        <v>665</v>
      </c>
      <c r="H49" s="36" t="s">
        <v>156</v>
      </c>
      <c r="I49" s="10"/>
      <c r="J49" s="27"/>
      <c r="K49" s="12" t="s">
        <v>34</v>
      </c>
      <c r="L49" s="10"/>
      <c r="M49" s="27"/>
      <c r="N49" s="12"/>
      <c r="O49" s="10"/>
      <c r="P49" s="27"/>
      <c r="Q49" s="14"/>
      <c r="R49" s="10"/>
      <c r="S49" s="27"/>
      <c r="T49" s="12"/>
      <c r="U49" s="10"/>
      <c r="V49" s="27"/>
      <c r="W49" s="12"/>
      <c r="X49" s="10"/>
      <c r="Y49" s="27"/>
      <c r="Z49" s="37"/>
      <c r="AA49" s="12" t="s">
        <v>37</v>
      </c>
      <c r="AB49" s="10"/>
      <c r="AC49" s="27"/>
    </row>
    <row r="50" ht="22.5" customHeight="1">
      <c r="A50" s="30">
        <v>8.0</v>
      </c>
      <c r="B50" s="53">
        <v>5.0</v>
      </c>
      <c r="C50" s="30" t="s">
        <v>666</v>
      </c>
      <c r="D50" s="22" t="s">
        <v>30</v>
      </c>
      <c r="E50" s="7" t="str">
        <f>IFERROR(__xludf.DUMMYFUNCTION("IF(AND(F50 &gt; 0.3, F50 &lt; 0.5), SPARKLINE(F50,{""charttype"",""bar"";""color1"",""Gold"";""max"",1}),
IF(F50 = 1, SPARKLINE(F50,{""charttype"",""bar"";""color1"",""Lime"";""max"",1}),
IF(F50 &gt;= 0.5, SPARKLINE(F50,{""charttype"",""bar"";""color1"",""GreenYel"&amp;"low"";""max"",1}),
SPARKLINE(F50,{""charttype"",""bar"";""color1"",""DarkOrange"";""max"",1}))))"),"")</f>
        <v/>
      </c>
      <c r="F50" s="8">
        <f t="shared" si="1"/>
        <v>0</v>
      </c>
      <c r="G50" s="18" t="s">
        <v>667</v>
      </c>
      <c r="H50" s="36" t="s">
        <v>156</v>
      </c>
      <c r="I50" s="10"/>
      <c r="J50" s="27"/>
      <c r="K50" s="12" t="s">
        <v>34</v>
      </c>
      <c r="L50" s="10"/>
      <c r="M50" s="27"/>
      <c r="N50" s="12"/>
      <c r="O50" s="10"/>
      <c r="P50" s="27"/>
      <c r="Q50" s="14"/>
      <c r="R50" s="10"/>
      <c r="S50" s="27"/>
      <c r="T50" s="12"/>
      <c r="U50" s="10"/>
      <c r="V50" s="27"/>
      <c r="W50" s="12"/>
      <c r="X50" s="10"/>
      <c r="Y50" s="27"/>
      <c r="Z50" s="37"/>
      <c r="AA50" s="12" t="s">
        <v>37</v>
      </c>
      <c r="AB50" s="10"/>
      <c r="AC50" s="27"/>
    </row>
    <row r="51" ht="22.5" customHeight="1">
      <c r="A51" s="30">
        <v>8.0</v>
      </c>
      <c r="B51" s="53">
        <v>5.0</v>
      </c>
      <c r="C51" s="30" t="s">
        <v>668</v>
      </c>
      <c r="D51" s="22" t="s">
        <v>30</v>
      </c>
      <c r="E51" s="7" t="str">
        <f>IFERROR(__xludf.DUMMYFUNCTION("IF(AND(F51 &gt; 0.3, F51 &lt; 0.5), SPARKLINE(F51,{""charttype"",""bar"";""color1"",""Gold"";""max"",1}),
IF(F51 = 1, SPARKLINE(F51,{""charttype"",""bar"";""color1"",""Lime"";""max"",1}),
IF(F51 &gt;= 0.5, SPARKLINE(F51,{""charttype"",""bar"";""color1"",""GreenYel"&amp;"low"";""max"",1}),
SPARKLINE(F51,{""charttype"",""bar"";""color1"",""DarkOrange"";""max"",1}))))"),"")</f>
        <v/>
      </c>
      <c r="F51" s="8">
        <f t="shared" si="1"/>
        <v>0</v>
      </c>
      <c r="G51" s="18" t="s">
        <v>669</v>
      </c>
      <c r="H51" s="36" t="s">
        <v>156</v>
      </c>
      <c r="I51" s="10"/>
      <c r="J51" s="27"/>
      <c r="K51" s="12" t="s">
        <v>34</v>
      </c>
      <c r="L51" s="10"/>
      <c r="M51" s="27"/>
      <c r="N51" s="12"/>
      <c r="O51" s="10"/>
      <c r="P51" s="27"/>
      <c r="Q51" s="14"/>
      <c r="R51" s="10"/>
      <c r="S51" s="27"/>
      <c r="T51" s="12"/>
      <c r="U51" s="10"/>
      <c r="V51" s="27"/>
      <c r="W51" s="12"/>
      <c r="X51" s="10"/>
      <c r="Y51" s="27"/>
      <c r="Z51" s="37"/>
      <c r="AA51" s="12" t="s">
        <v>37</v>
      </c>
      <c r="AB51" s="10"/>
      <c r="AC51" s="27"/>
    </row>
    <row r="52" ht="22.5" customHeight="1">
      <c r="A52" s="30">
        <v>8.0</v>
      </c>
      <c r="B52" s="53">
        <v>5.0</v>
      </c>
      <c r="C52" s="30" t="s">
        <v>670</v>
      </c>
      <c r="D52" s="22" t="s">
        <v>30</v>
      </c>
      <c r="E52" s="7" t="str">
        <f>IFERROR(__xludf.DUMMYFUNCTION("IF(AND(F52 &gt; 0.3, F52 &lt; 0.5), SPARKLINE(F52,{""charttype"",""bar"";""color1"",""Gold"";""max"",1}),
IF(F52 = 1, SPARKLINE(F52,{""charttype"",""bar"";""color1"",""Lime"";""max"",1}),
IF(F52 &gt;= 0.5, SPARKLINE(F52,{""charttype"",""bar"";""color1"",""GreenYel"&amp;"low"";""max"",1}),
SPARKLINE(F52,{""charttype"",""bar"";""color1"",""DarkOrange"";""max"",1}))))"),"")</f>
        <v/>
      </c>
      <c r="F52" s="8">
        <f t="shared" si="1"/>
        <v>0</v>
      </c>
      <c r="G52" s="18" t="s">
        <v>671</v>
      </c>
      <c r="H52" s="36" t="s">
        <v>156</v>
      </c>
      <c r="I52" s="10"/>
      <c r="J52" s="27"/>
      <c r="K52" s="12" t="s">
        <v>34</v>
      </c>
      <c r="L52" s="10"/>
      <c r="M52" s="27"/>
      <c r="N52" s="12"/>
      <c r="O52" s="10"/>
      <c r="P52" s="27"/>
      <c r="Q52" s="14"/>
      <c r="R52" s="10"/>
      <c r="S52" s="27"/>
      <c r="T52" s="12"/>
      <c r="U52" s="10"/>
      <c r="V52" s="27"/>
      <c r="W52" s="12"/>
      <c r="X52" s="10"/>
      <c r="Y52" s="27"/>
      <c r="Z52" s="37"/>
      <c r="AA52" s="12" t="s">
        <v>37</v>
      </c>
      <c r="AB52" s="10"/>
      <c r="AC52" s="27"/>
    </row>
    <row r="53" ht="22.5" customHeight="1">
      <c r="A53" s="30">
        <v>8.0</v>
      </c>
      <c r="B53" s="53">
        <v>5.0</v>
      </c>
      <c r="C53" s="30" t="s">
        <v>672</v>
      </c>
      <c r="D53" s="22" t="s">
        <v>45</v>
      </c>
      <c r="E53" s="7" t="str">
        <f>IFERROR(__xludf.DUMMYFUNCTION("IF(AND(F53 &gt; 0.3, F53 &lt; 0.5), SPARKLINE(F53,{""charttype"",""bar"";""color1"",""Gold"";""max"",1}),
IF(F53 = 1, SPARKLINE(F53,{""charttype"",""bar"";""color1"",""Lime"";""max"",1}),
IF(F53 &gt;= 0.5, SPARKLINE(F53,{""charttype"",""bar"";""color1"",""GreenYel"&amp;"low"";""max"",1}),
SPARKLINE(F53,{""charttype"",""bar"";""color1"",""DarkOrange"";""max"",1}))))"),"")</f>
        <v/>
      </c>
      <c r="F53" s="8">
        <f t="shared" si="1"/>
        <v>0</v>
      </c>
      <c r="G53" s="18" t="s">
        <v>673</v>
      </c>
      <c r="H53" s="36" t="s">
        <v>156</v>
      </c>
      <c r="I53" s="10"/>
      <c r="J53" s="27"/>
      <c r="K53" s="12" t="s">
        <v>34</v>
      </c>
      <c r="L53" s="10"/>
      <c r="M53" s="27"/>
      <c r="N53" s="12"/>
      <c r="O53" s="10"/>
      <c r="P53" s="27"/>
      <c r="Q53" s="14"/>
      <c r="R53" s="10"/>
      <c r="S53" s="27"/>
      <c r="T53" s="12"/>
      <c r="U53" s="10"/>
      <c r="V53" s="27"/>
      <c r="W53" s="12"/>
      <c r="X53" s="10"/>
      <c r="Y53" s="27"/>
      <c r="Z53" s="37"/>
      <c r="AA53" s="12" t="s">
        <v>37</v>
      </c>
      <c r="AB53" s="10"/>
      <c r="AC53" s="27"/>
    </row>
    <row r="54" ht="22.5" customHeight="1">
      <c r="A54" s="30">
        <v>8.0</v>
      </c>
      <c r="B54" s="53">
        <v>5.0</v>
      </c>
      <c r="C54" s="30" t="s">
        <v>674</v>
      </c>
      <c r="D54" s="22" t="s">
        <v>45</v>
      </c>
      <c r="E54" s="7" t="str">
        <f>IFERROR(__xludf.DUMMYFUNCTION("IF(AND(F54 &gt; 0.3, F54 &lt; 0.5), SPARKLINE(F54,{""charttype"",""bar"";""color1"",""Gold"";""max"",1}),
IF(F54 = 1, SPARKLINE(F54,{""charttype"",""bar"";""color1"",""Lime"";""max"",1}),
IF(F54 &gt;= 0.5, SPARKLINE(F54,{""charttype"",""bar"";""color1"",""GreenYel"&amp;"low"";""max"",1}),
SPARKLINE(F54,{""charttype"",""bar"";""color1"",""DarkOrange"";""max"",1}))))"),"")</f>
        <v/>
      </c>
      <c r="F54" s="8">
        <f t="shared" si="1"/>
        <v>0</v>
      </c>
      <c r="G54" s="18" t="s">
        <v>675</v>
      </c>
      <c r="H54" s="36" t="s">
        <v>156</v>
      </c>
      <c r="I54" s="10"/>
      <c r="J54" s="27"/>
      <c r="K54" s="12" t="s">
        <v>34</v>
      </c>
      <c r="L54" s="10"/>
      <c r="M54" s="27"/>
      <c r="N54" s="12"/>
      <c r="O54" s="10"/>
      <c r="P54" s="27"/>
      <c r="Q54" s="14"/>
      <c r="R54" s="10"/>
      <c r="S54" s="27"/>
      <c r="T54" s="12"/>
      <c r="U54" s="10"/>
      <c r="V54" s="27"/>
      <c r="W54" s="12"/>
      <c r="X54" s="10"/>
      <c r="Y54" s="27"/>
      <c r="Z54" s="37"/>
      <c r="AA54" s="12" t="s">
        <v>37</v>
      </c>
      <c r="AB54" s="10"/>
      <c r="AC54" s="27"/>
    </row>
    <row r="55" ht="22.5" customHeight="1">
      <c r="A55" s="30">
        <v>8.0</v>
      </c>
      <c r="B55" s="53">
        <v>5.0</v>
      </c>
      <c r="C55" s="30" t="s">
        <v>676</v>
      </c>
      <c r="D55" s="22" t="s">
        <v>45</v>
      </c>
      <c r="E55" s="7" t="str">
        <f>IFERROR(__xludf.DUMMYFUNCTION("IF(AND(F55 &gt; 0.3, F55 &lt; 0.5), SPARKLINE(F55,{""charttype"",""bar"";""color1"",""Gold"";""max"",1}),
IF(F55 = 1, SPARKLINE(F55,{""charttype"",""bar"";""color1"",""Lime"";""max"",1}),
IF(F55 &gt;= 0.5, SPARKLINE(F55,{""charttype"",""bar"";""color1"",""GreenYel"&amp;"low"";""max"",1}),
SPARKLINE(F55,{""charttype"",""bar"";""color1"",""DarkOrange"";""max"",1}))))"),"")</f>
        <v/>
      </c>
      <c r="F55" s="8">
        <f t="shared" si="1"/>
        <v>0</v>
      </c>
      <c r="G55" s="18" t="s">
        <v>677</v>
      </c>
      <c r="H55" s="36" t="s">
        <v>156</v>
      </c>
      <c r="I55" s="10"/>
      <c r="J55" s="27"/>
      <c r="K55" s="12" t="s">
        <v>34</v>
      </c>
      <c r="L55" s="10"/>
      <c r="M55" s="27"/>
      <c r="N55" s="12"/>
      <c r="O55" s="10"/>
      <c r="P55" s="27"/>
      <c r="Q55" s="14"/>
      <c r="R55" s="10"/>
      <c r="S55" s="27"/>
      <c r="T55" s="12"/>
      <c r="U55" s="10"/>
      <c r="V55" s="27"/>
      <c r="W55" s="12"/>
      <c r="X55" s="10"/>
      <c r="Y55" s="27"/>
      <c r="Z55" s="37"/>
      <c r="AA55" s="12" t="s">
        <v>37</v>
      </c>
      <c r="AB55" s="10"/>
      <c r="AC55" s="27"/>
    </row>
    <row r="56" ht="22.5" customHeight="1">
      <c r="A56" s="30">
        <v>8.0</v>
      </c>
      <c r="B56" s="53">
        <v>5.0</v>
      </c>
      <c r="C56" s="30" t="s">
        <v>678</v>
      </c>
      <c r="D56" s="22" t="s">
        <v>45</v>
      </c>
      <c r="E56" s="7" t="str">
        <f>IFERROR(__xludf.DUMMYFUNCTION("IF(AND(F56 &gt; 0.3, F56 &lt; 0.5), SPARKLINE(F56,{""charttype"",""bar"";""color1"",""Gold"";""max"",1}),
IF(F56 = 1, SPARKLINE(F56,{""charttype"",""bar"";""color1"",""Lime"";""max"",1}),
IF(F56 &gt;= 0.5, SPARKLINE(F56,{""charttype"",""bar"";""color1"",""GreenYel"&amp;"low"";""max"",1}),
SPARKLINE(F56,{""charttype"",""bar"";""color1"",""DarkOrange"";""max"",1}))))"),"")</f>
        <v/>
      </c>
      <c r="F56" s="8">
        <f t="shared" si="1"/>
        <v>0</v>
      </c>
      <c r="G56" s="18" t="s">
        <v>679</v>
      </c>
      <c r="H56" s="36" t="s">
        <v>156</v>
      </c>
      <c r="I56" s="10"/>
      <c r="J56" s="27"/>
      <c r="K56" s="12" t="s">
        <v>34</v>
      </c>
      <c r="L56" s="10"/>
      <c r="M56" s="27"/>
      <c r="N56" s="12"/>
      <c r="O56" s="10"/>
      <c r="P56" s="27"/>
      <c r="Q56" s="14"/>
      <c r="R56" s="10"/>
      <c r="S56" s="27"/>
      <c r="T56" s="12"/>
      <c r="U56" s="10"/>
      <c r="V56" s="27"/>
      <c r="W56" s="12"/>
      <c r="X56" s="10"/>
      <c r="Y56" s="27"/>
      <c r="Z56" s="37"/>
      <c r="AA56" s="12" t="s">
        <v>37</v>
      </c>
      <c r="AB56" s="10"/>
      <c r="AC56" s="27"/>
    </row>
    <row r="57" ht="22.5" customHeight="1">
      <c r="A57" s="30">
        <v>8.0</v>
      </c>
      <c r="B57" s="53">
        <v>5.0</v>
      </c>
      <c r="C57" s="30" t="s">
        <v>680</v>
      </c>
      <c r="D57" s="22" t="s">
        <v>56</v>
      </c>
      <c r="E57" s="7" t="str">
        <f>IFERROR(__xludf.DUMMYFUNCTION("IF(AND(F57 &gt; 0.3, F57 &lt; 0.5), SPARKLINE(F57,{""charttype"",""bar"";""color1"",""Gold"";""max"",1}),
IF(F57 = 1, SPARKLINE(F57,{""charttype"",""bar"";""color1"",""Lime"";""max"",1}),
IF(F57 &gt;= 0.5, SPARKLINE(F57,{""charttype"",""bar"";""color1"",""GreenYel"&amp;"low"";""max"",1}),
SPARKLINE(F57,{""charttype"",""bar"";""color1"",""DarkOrange"";""max"",1}))))"),"")</f>
        <v/>
      </c>
      <c r="F57" s="8">
        <f t="shared" si="1"/>
        <v>0</v>
      </c>
      <c r="G57" s="18" t="s">
        <v>681</v>
      </c>
      <c r="H57" s="36" t="s">
        <v>156</v>
      </c>
      <c r="I57" s="10"/>
      <c r="J57" s="27"/>
      <c r="K57" s="12" t="s">
        <v>34</v>
      </c>
      <c r="L57" s="10"/>
      <c r="M57" s="27"/>
      <c r="N57" s="12"/>
      <c r="O57" s="10"/>
      <c r="P57" s="27"/>
      <c r="Q57" s="14"/>
      <c r="R57" s="10"/>
      <c r="S57" s="27"/>
      <c r="T57" s="12"/>
      <c r="U57" s="10"/>
      <c r="V57" s="27"/>
      <c r="W57" s="12"/>
      <c r="X57" s="10"/>
      <c r="Y57" s="27"/>
      <c r="Z57" s="37"/>
      <c r="AA57" s="12" t="s">
        <v>37</v>
      </c>
      <c r="AB57" s="10"/>
      <c r="AC57" s="27"/>
    </row>
    <row r="58" ht="22.5" customHeight="1">
      <c r="A58" s="30">
        <v>8.0</v>
      </c>
      <c r="B58" s="53">
        <v>5.0</v>
      </c>
      <c r="C58" s="30" t="s">
        <v>682</v>
      </c>
      <c r="D58" s="22" t="s">
        <v>60</v>
      </c>
      <c r="E58" s="7" t="str">
        <f>IFERROR(__xludf.DUMMYFUNCTION("IF(AND(F58 &gt; 0.3, F58 &lt; 0.5), SPARKLINE(F58,{""charttype"",""bar"";""color1"",""Gold"";""max"",1}),
IF(F58 = 1, SPARKLINE(F58,{""charttype"",""bar"";""color1"",""Lime"";""max"",1}),
IF(F58 &gt;= 0.5, SPARKLINE(F58,{""charttype"",""bar"";""color1"",""GreenYel"&amp;"low"";""max"",1}),
SPARKLINE(F58,{""charttype"",""bar"";""color1"",""DarkOrange"";""max"",1}))))"),"")</f>
        <v/>
      </c>
      <c r="F58" s="8">
        <f t="shared" si="1"/>
        <v>0</v>
      </c>
      <c r="G58" s="18" t="s">
        <v>683</v>
      </c>
      <c r="H58" s="36" t="s">
        <v>156</v>
      </c>
      <c r="I58" s="10"/>
      <c r="J58" s="27"/>
      <c r="K58" s="12" t="s">
        <v>34</v>
      </c>
      <c r="L58" s="10"/>
      <c r="M58" s="27"/>
      <c r="N58" s="12"/>
      <c r="O58" s="10"/>
      <c r="P58" s="27"/>
      <c r="Q58" s="14"/>
      <c r="R58" s="10"/>
      <c r="S58" s="27"/>
      <c r="T58" s="12"/>
      <c r="U58" s="10"/>
      <c r="V58" s="27"/>
      <c r="W58" s="12"/>
      <c r="X58" s="10"/>
      <c r="Y58" s="27"/>
      <c r="Z58" s="37"/>
      <c r="AA58" s="12" t="s">
        <v>37</v>
      </c>
      <c r="AB58" s="10"/>
      <c r="AC58" s="27"/>
    </row>
    <row r="59" ht="22.5" customHeight="1">
      <c r="A59" s="30">
        <v>8.0</v>
      </c>
      <c r="B59" s="53">
        <v>5.0</v>
      </c>
      <c r="C59" s="30" t="s">
        <v>684</v>
      </c>
      <c r="D59" s="22" t="s">
        <v>149</v>
      </c>
      <c r="E59" s="7" t="str">
        <f>IFERROR(__xludf.DUMMYFUNCTION("IF(AND(F59 &gt; 0.3, F59 &lt; 0.5), SPARKLINE(F59,{""charttype"",""bar"";""color1"",""Gold"";""max"",1}),
IF(F59 = 1, SPARKLINE(F59,{""charttype"",""bar"";""color1"",""Lime"";""max"",1}),
IF(F59 &gt;= 0.5, SPARKLINE(F59,{""charttype"",""bar"";""color1"",""GreenYel"&amp;"low"";""max"",1}),
SPARKLINE(F59,{""charttype"",""bar"";""color1"",""DarkOrange"";""max"",1}))))"),"")</f>
        <v/>
      </c>
      <c r="F59" s="8">
        <f t="shared" si="1"/>
        <v>0</v>
      </c>
      <c r="G59" s="37"/>
      <c r="H59" s="36" t="s">
        <v>156</v>
      </c>
      <c r="I59" s="10"/>
      <c r="J59" s="27"/>
      <c r="K59" s="12" t="s">
        <v>34</v>
      </c>
      <c r="L59" s="10"/>
      <c r="M59" s="27"/>
      <c r="N59" s="12"/>
      <c r="O59" s="10"/>
      <c r="P59" s="27"/>
      <c r="Q59" s="14"/>
      <c r="R59" s="10"/>
      <c r="S59" s="27"/>
      <c r="T59" s="12"/>
      <c r="U59" s="10"/>
      <c r="V59" s="27"/>
      <c r="W59" s="12"/>
      <c r="X59" s="10"/>
      <c r="Y59" s="27"/>
      <c r="Z59" s="37"/>
      <c r="AA59" s="12" t="s">
        <v>37</v>
      </c>
      <c r="AB59" s="10"/>
      <c r="AC59" s="27"/>
    </row>
    <row r="60" ht="22.5" customHeight="1">
      <c r="A60" s="30">
        <v>8.0</v>
      </c>
      <c r="B60" s="53">
        <v>5.0</v>
      </c>
      <c r="C60" s="30" t="s">
        <v>685</v>
      </c>
      <c r="D60" s="22" t="s">
        <v>95</v>
      </c>
      <c r="E60" s="7" t="str">
        <f>IFERROR(__xludf.DUMMYFUNCTION("IF(AND(F60 &gt; 0.3, F60 &lt; 0.5), SPARKLINE(F60,{""charttype"",""bar"";""color1"",""Gold"";""max"",1}),
IF(F60 = 1, SPARKLINE(F60,{""charttype"",""bar"";""color1"",""Lime"";""max"",1}),
IF(F60 &gt;= 0.5, SPARKLINE(F60,{""charttype"",""bar"";""color1"",""GreenYel"&amp;"low"";""max"",1}),
SPARKLINE(F60,{""charttype"",""bar"";""color1"",""DarkOrange"";""max"",1}))))"),"")</f>
        <v/>
      </c>
      <c r="F60" s="8">
        <f t="shared" si="1"/>
        <v>0</v>
      </c>
      <c r="G60" s="18" t="s">
        <v>686</v>
      </c>
      <c r="H60" s="36" t="s">
        <v>156</v>
      </c>
      <c r="I60" s="10"/>
      <c r="J60" s="27"/>
      <c r="K60" s="12" t="s">
        <v>34</v>
      </c>
      <c r="L60" s="10"/>
      <c r="M60" s="27"/>
      <c r="N60" s="12"/>
      <c r="O60" s="10"/>
      <c r="P60" s="27"/>
      <c r="Q60" s="14"/>
      <c r="R60" s="10"/>
      <c r="S60" s="27"/>
      <c r="T60" s="12"/>
      <c r="U60" s="10"/>
      <c r="V60" s="27"/>
      <c r="W60" s="12"/>
      <c r="X60" s="10"/>
      <c r="Y60" s="27"/>
      <c r="Z60" s="37"/>
      <c r="AA60" s="12" t="s">
        <v>37</v>
      </c>
      <c r="AB60" s="10"/>
      <c r="AC60" s="27"/>
    </row>
  </sheetData>
  <dataValidations>
    <dataValidation type="list" allowBlank="1" sqref="P2:P60 S2:S60 Y2:Y60">
      <formula1>"Concluído,Em Andamento,Pendente,Precisa de Alteração"</formula1>
    </dataValidation>
    <dataValidation type="list" allowBlank="1" sqref="J2:J60">
      <formula1>"Concluído,Em Andamento,Pendente,Precisa de Alteração,Não há"</formula1>
    </dataValidation>
    <dataValidation type="custom" allowBlank="1" showDropDown="1" sqref="I2:I60 L2:L60 O2:O60 R2:R60 U2:U60 X2:X60 AB2:AB60">
      <formula1>OR(NOT(ISERROR(DATEVALUE(I2))), AND(ISNUMBER(I2), LEFT(CELL("format", I2))="D"))</formula1>
    </dataValidation>
    <dataValidation type="list" allowBlank="1" sqref="V2:V60">
      <formula1>"Concluído,Em Andamento,Pendente,Precisa de Alteração,Não Há"</formula1>
    </dataValidation>
    <dataValidation type="list" allowBlank="1" sqref="AC2:AC60">
      <formula1>"Concluído,Em Andamento,Pendente,Aguardando Correção"</formula1>
    </dataValidation>
    <dataValidation type="custom" allowBlank="1" showDropDown="1" sqref="F2:F60">
      <formula1>AND(ISNUMBER(F2),(NOT(OR(NOT(ISERROR(DATEVALUE(F2))), AND(ISNUMBER(F2), LEFT(CELL("format", F2))="D")))))</formula1>
    </dataValidation>
    <dataValidation type="list" allowBlank="1" sqref="M2:M60">
      <formula1>"Concluído,Em Andamento,Pendente,Aguardando Correção,Não há"</formula1>
    </dataValidation>
  </dataValidations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2"/>
    <hyperlink r:id="rId22" ref="H12"/>
    <hyperlink r:id="rId23" ref="G13"/>
    <hyperlink r:id="rId24" ref="H13"/>
    <hyperlink r:id="rId25" ref="G14"/>
    <hyperlink r:id="rId26" ref="H14"/>
    <hyperlink r:id="rId27" ref="G15"/>
    <hyperlink r:id="rId28" ref="H15"/>
    <hyperlink r:id="rId29" ref="G16"/>
    <hyperlink r:id="rId30" ref="H16"/>
    <hyperlink r:id="rId31" ref="G17"/>
    <hyperlink r:id="rId32" ref="H17"/>
    <hyperlink r:id="rId33" ref="G18"/>
    <hyperlink r:id="rId34" ref="H18"/>
    <hyperlink r:id="rId35" ref="G19"/>
    <hyperlink r:id="rId36" ref="H19"/>
    <hyperlink r:id="rId37" ref="G20"/>
    <hyperlink r:id="rId38" ref="H20"/>
    <hyperlink r:id="rId39" ref="G21"/>
    <hyperlink r:id="rId40" ref="H21"/>
    <hyperlink r:id="rId41" ref="G22"/>
    <hyperlink r:id="rId42" ref="H22"/>
    <hyperlink r:id="rId43" ref="G23"/>
    <hyperlink r:id="rId44" ref="H23"/>
    <hyperlink r:id="rId45" ref="G24"/>
    <hyperlink r:id="rId46" ref="H24"/>
    <hyperlink r:id="rId47" ref="G25"/>
    <hyperlink r:id="rId48" ref="H25"/>
    <hyperlink r:id="rId49" ref="G26"/>
    <hyperlink r:id="rId50" ref="H26"/>
    <hyperlink r:id="rId51" ref="G27"/>
    <hyperlink r:id="rId52" ref="H27"/>
    <hyperlink r:id="rId53" ref="G28"/>
    <hyperlink r:id="rId54" ref="H28"/>
    <hyperlink r:id="rId55" ref="G29"/>
    <hyperlink r:id="rId56" ref="H29"/>
    <hyperlink r:id="rId57" ref="G30"/>
    <hyperlink r:id="rId58" ref="H30"/>
    <hyperlink r:id="rId59" ref="G31"/>
    <hyperlink r:id="rId60" ref="H31"/>
    <hyperlink r:id="rId61" ref="G32"/>
    <hyperlink r:id="rId62" ref="H32"/>
    <hyperlink r:id="rId63" ref="G33"/>
    <hyperlink r:id="rId64" ref="H33"/>
    <hyperlink r:id="rId65" ref="G34"/>
    <hyperlink r:id="rId66" ref="H34"/>
    <hyperlink r:id="rId67" ref="G35"/>
    <hyperlink r:id="rId68" ref="H35"/>
    <hyperlink r:id="rId69" ref="G36"/>
    <hyperlink r:id="rId70" ref="H36"/>
    <hyperlink r:id="rId71" ref="G37"/>
    <hyperlink r:id="rId72" ref="H37"/>
    <hyperlink r:id="rId73" ref="G38"/>
    <hyperlink r:id="rId74" ref="H38"/>
    <hyperlink r:id="rId75" ref="G39"/>
    <hyperlink r:id="rId76" ref="H39"/>
    <hyperlink r:id="rId77" ref="G40"/>
    <hyperlink r:id="rId78" ref="H40"/>
    <hyperlink r:id="rId79" ref="G41"/>
    <hyperlink r:id="rId80" ref="H41"/>
    <hyperlink r:id="rId81" ref="G42"/>
    <hyperlink r:id="rId82" ref="H42"/>
    <hyperlink r:id="rId83" ref="G43"/>
    <hyperlink r:id="rId84" ref="H43"/>
    <hyperlink r:id="rId85" ref="G44"/>
    <hyperlink r:id="rId86" ref="H44"/>
    <hyperlink r:id="rId87" ref="G45"/>
    <hyperlink r:id="rId88" ref="H45"/>
    <hyperlink r:id="rId89" ref="G46"/>
    <hyperlink r:id="rId90" ref="H46"/>
    <hyperlink r:id="rId91" ref="G47"/>
    <hyperlink r:id="rId92" ref="H47"/>
    <hyperlink r:id="rId93" ref="G48"/>
    <hyperlink r:id="rId94" ref="H48"/>
    <hyperlink r:id="rId95" ref="G49"/>
    <hyperlink r:id="rId96" ref="H49"/>
    <hyperlink r:id="rId97" ref="G50"/>
    <hyperlink r:id="rId98" ref="H50"/>
    <hyperlink r:id="rId99" ref="G51"/>
    <hyperlink r:id="rId100" ref="H51"/>
    <hyperlink r:id="rId101" ref="G52"/>
    <hyperlink r:id="rId102" ref="H52"/>
    <hyperlink r:id="rId103" ref="G53"/>
    <hyperlink r:id="rId104" ref="H53"/>
    <hyperlink r:id="rId105" ref="G54"/>
    <hyperlink r:id="rId106" ref="H54"/>
    <hyperlink r:id="rId107" ref="G55"/>
    <hyperlink r:id="rId108" ref="H55"/>
    <hyperlink r:id="rId109" ref="G56"/>
    <hyperlink r:id="rId110" ref="H56"/>
    <hyperlink r:id="rId111" ref="G57"/>
    <hyperlink r:id="rId112" ref="H57"/>
    <hyperlink r:id="rId113" ref="G58"/>
    <hyperlink r:id="rId114" ref="H58"/>
    <hyperlink r:id="rId115" ref="H59"/>
    <hyperlink r:id="rId116" ref="G60"/>
    <hyperlink r:id="rId117" ref="H60"/>
  </hyperlinks>
  <drawing r:id="rId118"/>
  <tableParts count="1">
    <tablePart r:id="rId120"/>
  </tableParts>
</worksheet>
</file>