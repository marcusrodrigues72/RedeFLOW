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dade 1" sheetId="1" r:id="rId5"/>
    <sheet state="visible" name="Unidade 2" sheetId="2" r:id="rId6"/>
    <sheet state="visible" name="Unidade 3" sheetId="3" r:id="rId7"/>
  </sheets>
  <definedNames>
    <definedName hidden="1" localSheetId="0" name="_xlnm._FilterDatabase">'Unidade 1'!$A$1:$AC$17</definedName>
    <definedName hidden="1" localSheetId="2" name="_xlnm._FilterDatabase">'Unidade 3'!$A$1:$AE$27</definedName>
  </definedNames>
  <calcPr/>
</workbook>
</file>

<file path=xl/sharedStrings.xml><?xml version="1.0" encoding="utf-8"?>
<sst xmlns="http://schemas.openxmlformats.org/spreadsheetml/2006/main" count="699" uniqueCount="175">
  <si>
    <t xml:space="preserve">Unidade </t>
  </si>
  <si>
    <t>Capítulo</t>
  </si>
  <si>
    <t>Código do Objeto</t>
  </si>
  <si>
    <t>Tipo de Objeto</t>
  </si>
  <si>
    <t>Progresso</t>
  </si>
  <si>
    <t xml:space="preserve">% </t>
  </si>
  <si>
    <t>🔗 Objeto</t>
  </si>
  <si>
    <t>Conteudista</t>
  </si>
  <si>
    <t>Deadline Conteudi</t>
  </si>
  <si>
    <t>Status Conteudista</t>
  </si>
  <si>
    <t>DI</t>
  </si>
  <si>
    <t>Deadline DI</t>
  </si>
  <si>
    <t>Status DI</t>
  </si>
  <si>
    <t>Prof. Ator</t>
  </si>
  <si>
    <t>Deadline Gravação</t>
  </si>
  <si>
    <t>Status Gravação</t>
  </si>
  <si>
    <t>Revisor Técnico</t>
  </si>
  <si>
    <t>Deadline Revisão</t>
  </si>
  <si>
    <t>Status Revisão</t>
  </si>
  <si>
    <t>Produtor Acessi</t>
  </si>
  <si>
    <t>Deadline Acessibili</t>
  </si>
  <si>
    <t>Status Acessibilidade</t>
  </si>
  <si>
    <t>Produtor</t>
  </si>
  <si>
    <t>Deadline Produtor</t>
  </si>
  <si>
    <t>Status Produtor</t>
  </si>
  <si>
    <t>🔗Objeto Final</t>
  </si>
  <si>
    <t>Validação Final</t>
  </si>
  <si>
    <t>Deadline Final</t>
  </si>
  <si>
    <t>Status Validação Final</t>
  </si>
  <si>
    <t>U1C1O1V1</t>
  </si>
  <si>
    <t>Roteiro de Vídeo</t>
  </si>
  <si>
    <t>Visão Computacional-U1C1O1V1</t>
  </si>
  <si>
    <t>Rafael Carmo</t>
  </si>
  <si>
    <t>Concluído</t>
  </si>
  <si>
    <t>Roberta Macedo</t>
  </si>
  <si>
    <t>Tiago Sombra</t>
  </si>
  <si>
    <t>Nicolas Marques</t>
  </si>
  <si>
    <t>U1C1O1S1</t>
  </si>
  <si>
    <t>Slide</t>
  </si>
  <si>
    <t>Visão Computacional-U1C1O1S1</t>
  </si>
  <si>
    <t>Designers</t>
  </si>
  <si>
    <t>Visão Computacional - U1C1O1S1 - Slide.pdf</t>
  </si>
  <si>
    <t>Pendente</t>
  </si>
  <si>
    <t>U1C1O1F1</t>
  </si>
  <si>
    <t>Fórum</t>
  </si>
  <si>
    <t>Visão Computacional-U1C1O1F1</t>
  </si>
  <si>
    <t>Visão Computacional - U1C1O1F1 - Fórum.pdf</t>
  </si>
  <si>
    <t>U1C1O1P1</t>
  </si>
  <si>
    <t>Plano de Aula</t>
  </si>
  <si>
    <t>Visão Computacional-U1C1O1P1</t>
  </si>
  <si>
    <t>Visão Computacional - U1C1O1P1 - Plano de Aula.pdf</t>
  </si>
  <si>
    <t>U1C1O1F2</t>
  </si>
  <si>
    <t>Visão Computacional-U1C1O1F2</t>
  </si>
  <si>
    <t>Visão Computacional - U1C1O1F2 - Fórum.pdf</t>
  </si>
  <si>
    <t>U1C1O1E1</t>
  </si>
  <si>
    <t>Ebook</t>
  </si>
  <si>
    <t>Visão Computacional-U1C1O1E1</t>
  </si>
  <si>
    <t>alysonbnr@ufc.br</t>
  </si>
  <si>
    <t>U1C1O3Q1</t>
  </si>
  <si>
    <t>Quiz</t>
  </si>
  <si>
    <t>Visão Computacional-U1C1O3Q1</t>
  </si>
  <si>
    <t>U1C1O1P2</t>
  </si>
  <si>
    <t>Visão Computacional-U1C1O1P2</t>
  </si>
  <si>
    <t>Em Andamento</t>
  </si>
  <si>
    <t>U1C1O1S2</t>
  </si>
  <si>
    <t>Visão Computacional-U1C1O1S2</t>
  </si>
  <si>
    <t>Visão Computacional - U1C1O1S2 - Slide.pdf</t>
  </si>
  <si>
    <t>U1C1O1E2</t>
  </si>
  <si>
    <t>Visão Computacional-U1C1O1E2</t>
  </si>
  <si>
    <t>Precisa de Alteração</t>
  </si>
  <si>
    <t>U1C1O1T1</t>
  </si>
  <si>
    <t>Tarefa</t>
  </si>
  <si>
    <t>Visão Computacional-U1C1O1T1</t>
  </si>
  <si>
    <t>U1C1O1P3</t>
  </si>
  <si>
    <t>Visão Computacional-U1C1O1P3</t>
  </si>
  <si>
    <t>Alyson Bezerra</t>
  </si>
  <si>
    <t>U1C1O1S3</t>
  </si>
  <si>
    <t>Visão Computacional-U1C1O1S3</t>
  </si>
  <si>
    <t>Visão Computacional - U1C1O1S3 - Slide.pdf</t>
  </si>
  <si>
    <t>U1C1O1T2</t>
  </si>
  <si>
    <t>Visão Computacional-U1C1O1T2</t>
  </si>
  <si>
    <t>U1C1O3Q2</t>
  </si>
  <si>
    <t>Visão Computacional-U1C1O3Q2</t>
  </si>
  <si>
    <t>U1C1O1F3</t>
  </si>
  <si>
    <t>Visão Computacional-U1C1O1F3</t>
  </si>
  <si>
    <t>Visão Computacional - U1C1O1F3 - Fórum.pdf</t>
  </si>
  <si>
    <t>U2C1O1V1</t>
  </si>
  <si>
    <t>Visão Computacional-U2C1O1V1</t>
  </si>
  <si>
    <t>Matheus Araújo</t>
  </si>
  <si>
    <t>U2C1O1S1</t>
  </si>
  <si>
    <t>Visão Computacional-U2C1O1S1</t>
  </si>
  <si>
    <t>slide com gifs Visão Computacional - U2C1O1S1 - Slide</t>
  </si>
  <si>
    <t>U2C1O1E1</t>
  </si>
  <si>
    <t>Visão Computacional-U2C1O1E1</t>
  </si>
  <si>
    <t>U2C1O1P1</t>
  </si>
  <si>
    <t>Visão Computacional-U2C1O1P1</t>
  </si>
  <si>
    <t>Visão Computacional-U2C1O1S2</t>
  </si>
  <si>
    <t>Visão Computacional - U2C1O1S2 - Slide.pdf</t>
  </si>
  <si>
    <t>U2C1O1T1</t>
  </si>
  <si>
    <t>Visão Computacional-U2C1O1T1</t>
  </si>
  <si>
    <t>U2C1O1P2</t>
  </si>
  <si>
    <t>Visão Computacional-U2C1O1P2</t>
  </si>
  <si>
    <t>U2C1O1S3</t>
  </si>
  <si>
    <t>Visão Computacional-U2C1O1S3</t>
  </si>
  <si>
    <t>Visão Computacional - U2C1O1S3 - Slide.pdf</t>
  </si>
  <si>
    <t>U2C1O1T2</t>
  </si>
  <si>
    <t>Visão Computacional-U2C1O1T2</t>
  </si>
  <si>
    <t>U2C1O1Q1</t>
  </si>
  <si>
    <t>Visão Computacional-U2C1O1Q1</t>
  </si>
  <si>
    <t>U2C1O1P3</t>
  </si>
  <si>
    <t>Visão Computacional-U2C1O1P3</t>
  </si>
  <si>
    <t>U2C1O1S4</t>
  </si>
  <si>
    <t>Visão Computacional-U2C1O1S4</t>
  </si>
  <si>
    <t>Visão Computacional - U2C1O1S4 - Slide.pdf</t>
  </si>
  <si>
    <t>U2C1O1T3</t>
  </si>
  <si>
    <t>Visão Computacional-U2C1O1T3</t>
  </si>
  <si>
    <t>U2C1O1F1</t>
  </si>
  <si>
    <t>Visão Computacional-U2C1O1F1</t>
  </si>
  <si>
    <t>U2C1O3Q2</t>
  </si>
  <si>
    <t>Visão Computacional-U2C1O3Q2</t>
  </si>
  <si>
    <t>Deadline Real</t>
  </si>
  <si>
    <t>Entrega Conteudista</t>
  </si>
  <si>
    <t>U3C1O1V1</t>
  </si>
  <si>
    <t>Visão Computacional-U3C1O1V1</t>
  </si>
  <si>
    <t>Concluído com Atraso</t>
  </si>
  <si>
    <t>U3C1O1V2</t>
  </si>
  <si>
    <t>Visão Computacional-U3C1O1V2</t>
  </si>
  <si>
    <t>Atrasado</t>
  </si>
  <si>
    <t>U3C1O1S1</t>
  </si>
  <si>
    <t>Visão Computacional-U3C1O1S1</t>
  </si>
  <si>
    <t>Visão Computacional - U3C1O1S1 - Slide.pdf</t>
  </si>
  <si>
    <t>U3C1O1S2</t>
  </si>
  <si>
    <t>Visão Computacional-U3C1O1S2</t>
  </si>
  <si>
    <t>U3C1O1E1</t>
  </si>
  <si>
    <t>Visão Computacional-U3C1O1E1</t>
  </si>
  <si>
    <t>U3C1O1P1</t>
  </si>
  <si>
    <t>Visão Computacional-U3C1O1P1</t>
  </si>
  <si>
    <t>U3C1O1S3</t>
  </si>
  <si>
    <t>Visão Computacional-U3C1O1S3</t>
  </si>
  <si>
    <t>Visão Computacional - U3C1O1S3 - Slide.pdf</t>
  </si>
  <si>
    <t>U3C1O1T1</t>
  </si>
  <si>
    <t>Visão Computacional-U3C1O1T1</t>
  </si>
  <si>
    <t>U3C1O1P2</t>
  </si>
  <si>
    <t>Visão Computacional-U3C1O1P2</t>
  </si>
  <si>
    <t>Visão Computacional-U3C1O1S4</t>
  </si>
  <si>
    <t>Visão Computacional - U3C1O1S4 - Slide.pdf</t>
  </si>
  <si>
    <t>U3C1O1T2</t>
  </si>
  <si>
    <t>Visão Computacional-U3C1O1T2</t>
  </si>
  <si>
    <t>U3C1O3Q1</t>
  </si>
  <si>
    <t>Visão Computacional-U3C1O3Q1</t>
  </si>
  <si>
    <t>U3C1O1F1</t>
  </si>
  <si>
    <t>Visão Computacional-U3C1O1F1</t>
  </si>
  <si>
    <t>U3C2O1V1</t>
  </si>
  <si>
    <t>Visão Computacional-U3C2O1V1</t>
  </si>
  <si>
    <t>U3C2O1S1</t>
  </si>
  <si>
    <t>Visão Computacional-U3C2O1S1</t>
  </si>
  <si>
    <t>slide com gifs Visão Computacional - U3C2O1S1 - Slide</t>
  </si>
  <si>
    <t>U3C2O1P1</t>
  </si>
  <si>
    <t>Visão Computacional-U3C2O1P1</t>
  </si>
  <si>
    <t>U3C2O1T1</t>
  </si>
  <si>
    <t>Visão Computacional-U3C2O1T1</t>
  </si>
  <si>
    <t>U3C2O1F1</t>
  </si>
  <si>
    <t>Visão Computacional-U3C2O1F1</t>
  </si>
  <si>
    <t>U3C2O3Q1</t>
  </si>
  <si>
    <t>Visão Computacional-U3C2O3Q1</t>
  </si>
  <si>
    <t>U3C2O1P2</t>
  </si>
  <si>
    <t>Visão Computacional-U3C2O1P2</t>
  </si>
  <si>
    <t>U3C2O1E1</t>
  </si>
  <si>
    <t>Visão Computacional-U3C2O1E1</t>
  </si>
  <si>
    <t>U3C2O1P3</t>
  </si>
  <si>
    <t>Visão Computacional-U3C2O1P3</t>
  </si>
  <si>
    <t>U3C2O1F2</t>
  </si>
  <si>
    <t>Visão Computacional-U3C2O1F2</t>
  </si>
  <si>
    <t>U3C2O3Q2</t>
  </si>
  <si>
    <t>Visão Computacional-U3C2O3Q2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</si>
</sst>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1">
    <font>
      <sz val="10.0"/>
      <color rgb="FF000000"/>
      <name val="Arial"/>
      <scheme val="minor"/>
    </font>
    <font>
      <b/>
      <color rgb="FFF3F3F3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0" fontId="1" numFmtId="49" xfId="0" applyAlignment="1" applyBorder="1" applyFont="1" applyNumberForma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3" fillId="0" fontId="2" numFmtId="49" xfId="0" applyAlignment="1" applyBorder="1" applyFont="1" applyNumberFormat="1">
      <alignment readingOrder="0" shrinkToFit="0" vertical="center" wrapText="0"/>
    </xf>
    <xf borderId="3" fillId="0" fontId="2" numFmtId="10" xfId="0" applyAlignment="1" applyBorder="1" applyFont="1" applyNumberFormat="1">
      <alignment shrinkToFit="0" vertical="center" wrapText="0"/>
    </xf>
    <xf borderId="3" fillId="0" fontId="2" numFmtId="9" xfId="0" applyAlignment="1" applyBorder="1" applyFont="1" applyNumberFormat="1">
      <alignment horizontal="center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3" fillId="0" fontId="2" numFmtId="164" xfId="0" applyAlignment="1" applyBorder="1" applyFont="1" applyNumberFormat="1">
      <alignment horizontal="center" readingOrder="0" shrinkToFit="0" vertical="center" wrapText="0"/>
    </xf>
    <xf borderId="4" fillId="0" fontId="4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horizontal="center" readingOrder="0" shrinkToFit="0" vertical="center" wrapText="0"/>
    </xf>
    <xf borderId="4" fillId="0" fontId="5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4" fillId="0" fontId="6" numFmtId="0" xfId="0" applyAlignment="1" applyBorder="1" applyFont="1">
      <alignment horizontal="center" readingOrder="0" shrinkToFit="0" vertical="center" wrapText="0"/>
    </xf>
    <xf borderId="4" fillId="0" fontId="7" numFmtId="0" xfId="0" applyAlignment="1" applyBorder="1" applyFont="1">
      <alignment horizontal="center" readingOrder="0" shrinkToFit="0" vertical="center" wrapText="0"/>
    </xf>
    <xf borderId="4" fillId="0" fontId="2" numFmtId="49" xfId="0" applyAlignment="1" applyBorder="1" applyFont="1" applyNumberFormat="1">
      <alignment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4" fillId="0" fontId="4" numFmtId="0" xfId="0" applyAlignment="1" applyBorder="1" applyFont="1">
      <alignment horizontal="center" readingOrder="0" shrinkToFit="0" vertical="center" wrapText="0"/>
    </xf>
    <xf borderId="3" fillId="0" fontId="10" numFmtId="49" xfId="0" applyAlignment="1" applyBorder="1" applyFont="1" applyNumberFormat="1">
      <alignment horizontal="center" readingOrder="0" shrinkToFit="0" vertical="center" wrapText="0"/>
    </xf>
    <xf borderId="3" fillId="0" fontId="4" numFmtId="0" xfId="0" applyAlignment="1" applyBorder="1" applyFont="1">
      <alignment horizontal="center" readingOrder="0" shrinkToFit="0" vertical="center" wrapText="0"/>
    </xf>
    <xf borderId="3" fillId="0" fontId="2" numFmtId="9" xfId="0" applyAlignment="1" applyBorder="1" applyFont="1" applyNumberFormat="1">
      <alignment horizontal="right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4" pivot="0" name="Unidad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nidade 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C17" displayName="Microeletrônica_Geral" name="Microeletrônica_Geral" id="1">
  <autoFilter ref="$A$1:$AC$17">
    <filterColumn colId="3">
      <filters>
        <filter val="Plano de Aula"/>
      </filters>
    </filterColumn>
  </autoFilter>
  <tableColumns count="29">
    <tableColumn name="Unidade " id="1"/>
    <tableColumn name="Capítulo" id="2"/>
    <tableColumn name="Código do Objeto" id="3"/>
    <tableColumn name="Tipo de Objeto" id="4"/>
    <tableColumn name="Progresso" id="5"/>
    <tableColumn name="% " id="6"/>
    <tableColumn name="🔗 Objeto" id="7"/>
    <tableColumn name="Conteudista" id="8"/>
    <tableColumn name="Deadline Conteudi" id="9"/>
    <tableColumn name="Status Conteudista" id="10"/>
    <tableColumn name="DI" id="11"/>
    <tableColumn name="Deadline DI" id="12"/>
    <tableColumn name="Status DI" id="13"/>
    <tableColumn name="Prof. Ator" id="14"/>
    <tableColumn name="Deadline Gravação" id="15"/>
    <tableColumn name="Status Gravação" id="16"/>
    <tableColumn name="Revisor Técnico" id="17"/>
    <tableColumn name="Deadline Revisão" id="18"/>
    <tableColumn name="Status Revisão" id="19"/>
    <tableColumn name="Produtor Acessi" id="20"/>
    <tableColumn name="Deadline Acessibili" id="21"/>
    <tableColumn name="Status Acessibilidade" id="22"/>
    <tableColumn name="Produtor" id="23"/>
    <tableColumn name="Deadline Produtor" id="24"/>
    <tableColumn name="Status Produtor" id="25"/>
    <tableColumn name="🔗Objeto Final" id="26"/>
    <tableColumn name="Validação Final" id="27"/>
    <tableColumn name="Deadline Final" id="28"/>
    <tableColumn name="Status Validação Final" id="29"/>
  </tableColumns>
  <tableStyleInfo name="Unidade 1-style" showColumnStripes="0" showFirstColumn="1" showLastColumn="1" showRowStripes="1"/>
</table>
</file>

<file path=xl/tables/table2.xml><?xml version="1.0" encoding="utf-8"?>
<table xmlns="http://schemas.openxmlformats.org/spreadsheetml/2006/main" ref="A1:AC16" displayName="Microeletrônica_Geral_2" name="Microeletrônica_Geral_2" id="2">
  <tableColumns count="29">
    <tableColumn name="Unidade " id="1"/>
    <tableColumn name="Capítulo" id="2"/>
    <tableColumn name="Código do Objeto" id="3"/>
    <tableColumn name="Tipo de Objeto" id="4"/>
    <tableColumn name="Progresso" id="5"/>
    <tableColumn name="% " id="6"/>
    <tableColumn name="🔗 Objeto" id="7"/>
    <tableColumn name="Conteudista" id="8"/>
    <tableColumn name="Deadline Conteudi" id="9"/>
    <tableColumn name="Status Conteudista" id="10"/>
    <tableColumn name="DI" id="11"/>
    <tableColumn name="Deadline DI" id="12"/>
    <tableColumn name="Status DI" id="13"/>
    <tableColumn name="Prof. Ator" id="14"/>
    <tableColumn name="Deadline Gravação" id="15"/>
    <tableColumn name="Status Gravação" id="16"/>
    <tableColumn name="Revisor Técnico" id="17"/>
    <tableColumn name="Deadline Revisão" id="18"/>
    <tableColumn name="Status Revisão" id="19"/>
    <tableColumn name="Produtor Acessi" id="20"/>
    <tableColumn name="Deadline Acessibili" id="21"/>
    <tableColumn name="Status Acessibilidade" id="22"/>
    <tableColumn name="Produtor" id="23"/>
    <tableColumn name="Deadline Produtor" id="24"/>
    <tableColumn name="Status Produtor" id="25"/>
    <tableColumn name="🔗Objeto Final" id="26"/>
    <tableColumn name="Validação Final" id="27"/>
    <tableColumn name="Deadline Final" id="28"/>
    <tableColumn name="Status Validação Final" id="29"/>
  </tableColumns>
  <tableStyleInfo name="Unidade 2-style" showColumnStripes="0" showFirstColumn="1" showLastColumn="1" showRowStripes="1"/>
</table>
</file>

<file path=xl/tables/table3.xml><?xml version="1.0" encoding="utf-8"?>
<table xmlns="http://schemas.openxmlformats.org/spreadsheetml/2006/main" ref="A1:AE27" displayName="Microeletrônica_Geral_3" name="Microeletrônica_Geral_3" id="3">
  <autoFilter ref="$A$1:$AE$27">
    <filterColumn colId="3">
      <filters>
        <filter val="Slide"/>
      </filters>
    </filterColumn>
  </autoFilter>
  <tableColumns count="31">
    <tableColumn name="Unidade " id="1"/>
    <tableColumn name="Capítulo" id="2"/>
    <tableColumn name="Código do Objeto" id="3"/>
    <tableColumn name="Tipo de Objeto" id="4"/>
    <tableColumn name="Progresso" id="5"/>
    <tableColumn name="% " id="6"/>
    <tableColumn name="🔗 Objeto" id="7"/>
    <tableColumn name="Conteudista" id="8"/>
    <tableColumn name="Deadline Conteudi" id="9"/>
    <tableColumn name="Status Conteudista" id="10"/>
    <tableColumn name="Deadline Real" id="11"/>
    <tableColumn name="Entrega Conteudista" id="12"/>
    <tableColumn name="DI" id="13"/>
    <tableColumn name="Deadline DI" id="14"/>
    <tableColumn name="Status DI" id="15"/>
    <tableColumn name="Prof. Ator" id="16"/>
    <tableColumn name="Deadline Gravação" id="17"/>
    <tableColumn name="Status Gravação" id="18"/>
    <tableColumn name="Revisor Técnico" id="19"/>
    <tableColumn name="Deadline Revisão" id="20"/>
    <tableColumn name="Status Revisão" id="21"/>
    <tableColumn name="Produtor Acessi" id="22"/>
    <tableColumn name="Deadline Acessibili" id="23"/>
    <tableColumn name="Status Acessibilidade" id="24"/>
    <tableColumn name="Produtor" id="25"/>
    <tableColumn name="Deadline Produtor" id="26"/>
    <tableColumn name="Status Produtor" id="27"/>
    <tableColumn name="🔗Objeto Final" id="28"/>
    <tableColumn name="Validação Final" id="29"/>
    <tableColumn name="Deadline Final" id="30"/>
    <tableColumn name="Status Validação Final" id="31"/>
  </tableColumns>
  <tableStyleInfo name="Unidade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mailto:alysonbnr@ufc.br" TargetMode="External"/><Relationship Id="rId42" Type="http://schemas.openxmlformats.org/officeDocument/2006/relationships/table" Target="../tables/table1.xml"/><Relationship Id="rId22" Type="http://schemas.openxmlformats.org/officeDocument/2006/relationships/hyperlink" Target="mailto:alysonbnr@ufc.br" TargetMode="External"/><Relationship Id="rId21" Type="http://schemas.openxmlformats.org/officeDocument/2006/relationships/hyperlink" Target="https://docs.google.com/presentation/d/13xefkS92qN3NcyAzX4r8QcMvfOmssZbykWBrW1qQGEM/edit?usp=sharing" TargetMode="External"/><Relationship Id="rId24" Type="http://schemas.openxmlformats.org/officeDocument/2006/relationships/hyperlink" Target="https://docs.google.com/document/d/1mc8xfo7GOfgN64PA00Le-0NFaIRCGVxYAgpf6P69RVw/edit?usp=sharing" TargetMode="External"/><Relationship Id="rId23" Type="http://schemas.openxmlformats.org/officeDocument/2006/relationships/hyperlink" Target="https://drive.google.com/open?id=1vkqPJh2XnA5S6u0FTFb_KBlAV0fd-hnJ&amp;usp=drive_fs" TargetMode="External"/><Relationship Id="rId1" Type="http://schemas.openxmlformats.org/officeDocument/2006/relationships/hyperlink" Target="https://docs.google.com/document/d/10DMtiMEh0mJQ9QLeLwJ6rioiblQGR4Kr5UTbcxaZjhY/edit?usp=sharing" TargetMode="External"/><Relationship Id="rId2" Type="http://schemas.openxmlformats.org/officeDocument/2006/relationships/hyperlink" Target="mailto:carmorafael@virtual.ufc.br" TargetMode="External"/><Relationship Id="rId3" Type="http://schemas.openxmlformats.org/officeDocument/2006/relationships/hyperlink" Target="https://docs.google.com/presentation/d/11CIR_7BffiUH8lWZ-1v_YGRJur_4dRTQIcsmeXU0EZ0/edit?usp=sharing" TargetMode="External"/><Relationship Id="rId4" Type="http://schemas.openxmlformats.org/officeDocument/2006/relationships/hyperlink" Target="mailto:carmorafael@virtual.ufc.br" TargetMode="External"/><Relationship Id="rId9" Type="http://schemas.openxmlformats.org/officeDocument/2006/relationships/hyperlink" Target="https://docs.google.com/document/d/1Gbzwh60GsKNtQDqBf-FmSyx2KYOZTjKsd7Kud1GNph8/edit?usp=sharing" TargetMode="External"/><Relationship Id="rId26" Type="http://schemas.openxmlformats.org/officeDocument/2006/relationships/hyperlink" Target="https://docs.google.com/document/d/1y18VsgLYbumYEI3shKHJyshEG5nxCr4wPsw-70ooDdc/edit?usp=sharing" TargetMode="External"/><Relationship Id="rId25" Type="http://schemas.openxmlformats.org/officeDocument/2006/relationships/hyperlink" Target="mailto:carmorafael@virtual.ufc.br" TargetMode="External"/><Relationship Id="rId28" Type="http://schemas.openxmlformats.org/officeDocument/2006/relationships/hyperlink" Target="https://docs.google.com/document/d/17-AMA_-dr-HSfnKtS4WwL8dW7zr4lceTWuT9BceJWTI/edit?usp=sharing" TargetMode="External"/><Relationship Id="rId27" Type="http://schemas.openxmlformats.org/officeDocument/2006/relationships/hyperlink" Target="mailto:carmorafael@virtual.ufc.br" TargetMode="External"/><Relationship Id="rId5" Type="http://schemas.openxmlformats.org/officeDocument/2006/relationships/hyperlink" Target="https://drive.google.com/open?id=1gu3lORv94J_DZDtS3DMcgzsGKKTicGEx&amp;usp=drive_fs" TargetMode="External"/><Relationship Id="rId6" Type="http://schemas.openxmlformats.org/officeDocument/2006/relationships/hyperlink" Target="https://docs.google.com/document/d/1nk16RU8iwzVuf4MXv6apboj8tBtr-8Uib4UO0Q9UnXM/edit?usp=sharing" TargetMode="External"/><Relationship Id="rId29" Type="http://schemas.openxmlformats.org/officeDocument/2006/relationships/hyperlink" Target="mailto:alysonbnr@ufc.br" TargetMode="External"/><Relationship Id="rId7" Type="http://schemas.openxmlformats.org/officeDocument/2006/relationships/hyperlink" Target="mailto:carmorafael@virtual.ufc.br" TargetMode="External"/><Relationship Id="rId8" Type="http://schemas.openxmlformats.org/officeDocument/2006/relationships/hyperlink" Target="https://drive.google.com/open?id=1YH1_rlS1HXBy-2BYov5PIJoYQVQnwpSN&amp;usp=drive_fs" TargetMode="External"/><Relationship Id="rId31" Type="http://schemas.openxmlformats.org/officeDocument/2006/relationships/hyperlink" Target="mailto:alysonbnr@ufc.br" TargetMode="External"/><Relationship Id="rId30" Type="http://schemas.openxmlformats.org/officeDocument/2006/relationships/hyperlink" Target="https://docs.google.com/presentation/d/1Yh29lc7bEX__Z-nWeZoFHW0ck4tepFkq0dvdow4i7vE/edit?usp=sharing" TargetMode="External"/><Relationship Id="rId11" Type="http://schemas.openxmlformats.org/officeDocument/2006/relationships/hyperlink" Target="https://drive.google.com/file/d/1z5kM0RHDEOOpnawrn2fEeffmTjt_FWqH/view?usp=sharing" TargetMode="External"/><Relationship Id="rId33" Type="http://schemas.openxmlformats.org/officeDocument/2006/relationships/hyperlink" Target="https://docs.google.com/document/d/1-t8qbVgHLDrRknb7CFwACnEGbe6BvsTu13HB108NO_M/edit?usp=sharing" TargetMode="External"/><Relationship Id="rId10" Type="http://schemas.openxmlformats.org/officeDocument/2006/relationships/hyperlink" Target="mailto:carmorafael@virtual.ufc.br" TargetMode="External"/><Relationship Id="rId32" Type="http://schemas.openxmlformats.org/officeDocument/2006/relationships/hyperlink" Target="https://drive.google.com/open?id=1tEZHLU49kaYqzEMuiz1CL7ab_-Mbmt0M&amp;usp=drive_fs" TargetMode="External"/><Relationship Id="rId13" Type="http://schemas.openxmlformats.org/officeDocument/2006/relationships/hyperlink" Target="mailto:carmorafael@virtual.ufc.br" TargetMode="External"/><Relationship Id="rId35" Type="http://schemas.openxmlformats.org/officeDocument/2006/relationships/hyperlink" Target="https://docs.google.com/document/d/1ahhLDXNUWnzIa8inhrb4xyOCvMP69cs7OxQUT4TUqEQ/edit?usp=sharing" TargetMode="External"/><Relationship Id="rId12" Type="http://schemas.openxmlformats.org/officeDocument/2006/relationships/hyperlink" Target="https://docs.google.com/document/d/1Mmcq_UeYpM-Pqx2gRkZXwdr_UIia_m6ljIFSdiByJ_E/edit?usp=sharing" TargetMode="External"/><Relationship Id="rId34" Type="http://schemas.openxmlformats.org/officeDocument/2006/relationships/hyperlink" Target="mailto:alysonbnr@ufc.br" TargetMode="External"/><Relationship Id="rId15" Type="http://schemas.openxmlformats.org/officeDocument/2006/relationships/hyperlink" Target="https://docs.google.com/document/d/1UYBv7ayuaHaedTgHfsU1Ks83tQn8N_gxgD_piyvp5cs/edit?usp=sharing" TargetMode="External"/><Relationship Id="rId37" Type="http://schemas.openxmlformats.org/officeDocument/2006/relationships/hyperlink" Target="https://docs.google.com/document/d/18mlDQtw22iUJQEzpCsFT-oipjUoUcAharQuTdu-Yycc/edit?usp=sharing" TargetMode="External"/><Relationship Id="rId14" Type="http://schemas.openxmlformats.org/officeDocument/2006/relationships/hyperlink" Target="https://drive.google.com/open?id=1foHqJneaDstZYV1E8n0n0XEZXEsG2Chb&amp;usp=drive_fs" TargetMode="External"/><Relationship Id="rId36" Type="http://schemas.openxmlformats.org/officeDocument/2006/relationships/hyperlink" Target="mailto:alysonbnr@ufc.br" TargetMode="External"/><Relationship Id="rId17" Type="http://schemas.openxmlformats.org/officeDocument/2006/relationships/hyperlink" Target="https://docs.google.com/document/d/1pm9XwOB-GC4JEdjJHOm3j5a7bxgndvtELN9YTVOrTYE/edit?usp=sharing" TargetMode="External"/><Relationship Id="rId39" Type="http://schemas.openxmlformats.org/officeDocument/2006/relationships/hyperlink" Target="https://drive.google.com/open?id=1YAD2F3BbCp6-rLscHPT1q5OfnuikXzxv&amp;usp=drive_fs" TargetMode="External"/><Relationship Id="rId16" Type="http://schemas.openxmlformats.org/officeDocument/2006/relationships/hyperlink" Target="mailto:alysonbnr@ufc.br" TargetMode="External"/><Relationship Id="rId38" Type="http://schemas.openxmlformats.org/officeDocument/2006/relationships/hyperlink" Target="mailto:alysonbnr@ufc.br" TargetMode="External"/><Relationship Id="rId19" Type="http://schemas.openxmlformats.org/officeDocument/2006/relationships/hyperlink" Target="https://docs.google.com/document/d/1Ky_gu9rML2NQ111TNrp66y93U9TuVPxQT9JQoSz8ldQ/edit?usp=sharing" TargetMode="External"/><Relationship Id="rId18" Type="http://schemas.openxmlformats.org/officeDocument/2006/relationships/hyperlink" Target="mailto:alysonbnr@ufc.br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document/d/1MA-f7aIsU2ZoX-trexOOTm185GFeiDJUa9deG5h4PnI/edit?usp=sharing" TargetMode="External"/><Relationship Id="rId22" Type="http://schemas.openxmlformats.org/officeDocument/2006/relationships/hyperlink" Target="https://docs.google.com/document/d/1jLzwJSIfABQxwYr51TA3wfyD7ZLt0vFWSwVGO8owq9Y/edit?usp=sharing" TargetMode="External"/><Relationship Id="rId21" Type="http://schemas.openxmlformats.org/officeDocument/2006/relationships/hyperlink" Target="mailto:alysonbnr@ufc.br" TargetMode="External"/><Relationship Id="rId24" Type="http://schemas.openxmlformats.org/officeDocument/2006/relationships/hyperlink" Target="https://docs.google.com/document/d/1-8W9xy_IQtey-r39C2ubeRyPQt3rGZ2NVbs8lquoHCE/edit?usp=sharing" TargetMode="External"/><Relationship Id="rId23" Type="http://schemas.openxmlformats.org/officeDocument/2006/relationships/hyperlink" Target="mailto:alysonbnr@ufc.br" TargetMode="External"/><Relationship Id="rId1" Type="http://schemas.openxmlformats.org/officeDocument/2006/relationships/hyperlink" Target="https://docs.google.com/document/d/1QtiQd42hBWBh7_Lb9ettk-tsDzcxBit4kXeC_gM-BrI/edit?usp=sharing" TargetMode="External"/><Relationship Id="rId2" Type="http://schemas.openxmlformats.org/officeDocument/2006/relationships/hyperlink" Target="mailto:alysonbnr@ufc.br" TargetMode="External"/><Relationship Id="rId3" Type="http://schemas.openxmlformats.org/officeDocument/2006/relationships/hyperlink" Target="https://docs.google.com/presentation/d/14c4JLZCwtH0qLIhkutEZZ9xwl5_g2sVsY521_F5mHI4/edit?usp=sharing" TargetMode="External"/><Relationship Id="rId4" Type="http://schemas.openxmlformats.org/officeDocument/2006/relationships/hyperlink" Target="mailto:alysonbnr@ufc.br" TargetMode="External"/><Relationship Id="rId9" Type="http://schemas.openxmlformats.org/officeDocument/2006/relationships/hyperlink" Target="mailto:carmorafael@virtual.ufc.br" TargetMode="External"/><Relationship Id="rId26" Type="http://schemas.openxmlformats.org/officeDocument/2006/relationships/hyperlink" Target="https://docs.google.com/presentation/d/10oT5mKr0VKAiZu96bRzb9U5LnObCvg_koS5jQBGVLRs/edit?usp=sharing" TargetMode="External"/><Relationship Id="rId25" Type="http://schemas.openxmlformats.org/officeDocument/2006/relationships/hyperlink" Target="mailto:carmorafael@virtual.ufc.br" TargetMode="External"/><Relationship Id="rId28" Type="http://schemas.openxmlformats.org/officeDocument/2006/relationships/hyperlink" Target="https://drive.google.com/open?id=1apovpD_E4_jiPxiA9gyOdQZ67I5yu8HL&amp;usp=drive_fs" TargetMode="External"/><Relationship Id="rId27" Type="http://schemas.openxmlformats.org/officeDocument/2006/relationships/hyperlink" Target="mailto:carmorafael@virtual.ufc.br" TargetMode="External"/><Relationship Id="rId5" Type="http://schemas.openxmlformats.org/officeDocument/2006/relationships/hyperlink" Target="https://docs.google.com/presentation/d/1D3VAtQYJzw0GRROI2wZZhRBYqwU0dbMQlvZG_2BKnRg/edit?usp=sharing" TargetMode="External"/><Relationship Id="rId6" Type="http://schemas.openxmlformats.org/officeDocument/2006/relationships/hyperlink" Target="https://docs.google.com/document/d/15IfzP11mVwBoBArrGJwyhX_c--ob80iO1X-ZeFQDViA/edit?usp=sharing" TargetMode="External"/><Relationship Id="rId29" Type="http://schemas.openxmlformats.org/officeDocument/2006/relationships/hyperlink" Target="https://docs.google.com/document/d/1E5bJUceZXRgzAFQxt1TPiW3Crcq6_zL_-5ianORlsqo/edit?usp=sharing" TargetMode="External"/><Relationship Id="rId7" Type="http://schemas.openxmlformats.org/officeDocument/2006/relationships/hyperlink" Target="mailto:alysonbnr@ufc.br" TargetMode="External"/><Relationship Id="rId8" Type="http://schemas.openxmlformats.org/officeDocument/2006/relationships/hyperlink" Target="https://docs.google.com/document/d/1ikio7dIfcB_r98EHqQVAQBrhdNc9_n1Sy9oZ5I_eP4k/edit?usp=sharing" TargetMode="External"/><Relationship Id="rId31" Type="http://schemas.openxmlformats.org/officeDocument/2006/relationships/hyperlink" Target="https://docs.google.com/document/d/1D-14dH9kXYXBl2JLZi_c6AFCj7-pY8eSSlfuFWyFjx8/edit?usp=sharing" TargetMode="External"/><Relationship Id="rId30" Type="http://schemas.openxmlformats.org/officeDocument/2006/relationships/hyperlink" Target="mailto:carmorafael@virtual.ufc.br" TargetMode="External"/><Relationship Id="rId11" Type="http://schemas.openxmlformats.org/officeDocument/2006/relationships/hyperlink" Target="mailto:carmorafael@virtual.ufc.br" TargetMode="External"/><Relationship Id="rId33" Type="http://schemas.openxmlformats.org/officeDocument/2006/relationships/hyperlink" Target="https://docs.google.com/document/d/1CvpnsDswzmRktpH0iK6MYOCuuB1JM6ye3z_8_GQIU50/edit?usp=sharing" TargetMode="External"/><Relationship Id="rId10" Type="http://schemas.openxmlformats.org/officeDocument/2006/relationships/hyperlink" Target="https://docs.google.com/presentation/d/1PsjVPwgDFFdJEuk08Xl9RYyPaXr_WNOi20Pe9vFOpus/edit?usp=sharing" TargetMode="External"/><Relationship Id="rId32" Type="http://schemas.openxmlformats.org/officeDocument/2006/relationships/hyperlink" Target="mailto:carmorafael@virtual.ufc.br" TargetMode="External"/><Relationship Id="rId13" Type="http://schemas.openxmlformats.org/officeDocument/2006/relationships/hyperlink" Target="https://docs.google.com/document/d/1IlfEdC86wu-tvIu2cgEOMJcXNb3Wm5h61REtEbYZG8E/edit?usp=sharing" TargetMode="External"/><Relationship Id="rId35" Type="http://schemas.openxmlformats.org/officeDocument/2006/relationships/drawing" Target="../drawings/drawing2.xml"/><Relationship Id="rId12" Type="http://schemas.openxmlformats.org/officeDocument/2006/relationships/hyperlink" Target="https://drive.google.com/open?id=12GOC82MJ2Rep4uGiWsAbcPmtkMuwJQeJ&amp;usp=drive_fs" TargetMode="External"/><Relationship Id="rId34" Type="http://schemas.openxmlformats.org/officeDocument/2006/relationships/hyperlink" Target="mailto:carmorafael@virtual.ufc.br" TargetMode="External"/><Relationship Id="rId15" Type="http://schemas.openxmlformats.org/officeDocument/2006/relationships/hyperlink" Target="https://docs.google.com/document/d/1EbS9dqPdn-UBLhvImRxGocmOhVNTydbKCbh9TIaJ6QM/edit?usp=sharing" TargetMode="External"/><Relationship Id="rId37" Type="http://schemas.openxmlformats.org/officeDocument/2006/relationships/table" Target="../tables/table2.xml"/><Relationship Id="rId14" Type="http://schemas.openxmlformats.org/officeDocument/2006/relationships/hyperlink" Target="mailto:carmorafael@virtual.ufc.br" TargetMode="External"/><Relationship Id="rId17" Type="http://schemas.openxmlformats.org/officeDocument/2006/relationships/hyperlink" Target="https://docs.google.com/presentation/d/1nvpF1S2E8q94p6dyOLY2jGlh4rbpyRzmlE5EdFeyyoQ/edit?usp=sharing" TargetMode="External"/><Relationship Id="rId16" Type="http://schemas.openxmlformats.org/officeDocument/2006/relationships/hyperlink" Target="mailto:alysonbnr@ufc.br" TargetMode="External"/><Relationship Id="rId19" Type="http://schemas.openxmlformats.org/officeDocument/2006/relationships/hyperlink" Target="https://drive.google.com/open?id=1_uM1dSL2e_VNWNUoajtdO3ZeFDBOSBVN&amp;usp=drive_fs" TargetMode="External"/><Relationship Id="rId18" Type="http://schemas.openxmlformats.org/officeDocument/2006/relationships/hyperlink" Target="mailto:alysonbnr@ufc.br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mailto:carmorafael@virtual.ufc.br" TargetMode="External"/><Relationship Id="rId42" Type="http://schemas.openxmlformats.org/officeDocument/2006/relationships/hyperlink" Target="mailto:carmorafael@virtual.ufc.br" TargetMode="External"/><Relationship Id="rId41" Type="http://schemas.openxmlformats.org/officeDocument/2006/relationships/hyperlink" Target="https://docs.google.com/document/d/1D_4BKTzoCsjeuvCufUyOStxrIK5VCniI4A6LycWfOg4/edit?usp=sharing" TargetMode="External"/><Relationship Id="rId44" Type="http://schemas.openxmlformats.org/officeDocument/2006/relationships/hyperlink" Target="mailto:carmorafael@virtual.ufc.br" TargetMode="External"/><Relationship Id="rId43" Type="http://schemas.openxmlformats.org/officeDocument/2006/relationships/hyperlink" Target="https://docs.google.com/document/d/1q5boEsVbpy9ZXHWo6EXv687qOrJroRMz1LenalZ8_pk/edit?usp=sharing" TargetMode="External"/><Relationship Id="rId46" Type="http://schemas.openxmlformats.org/officeDocument/2006/relationships/hyperlink" Target="mailto:carmorafael@virtual.ufc.br" TargetMode="External"/><Relationship Id="rId45" Type="http://schemas.openxmlformats.org/officeDocument/2006/relationships/hyperlink" Target="https://docs.google.com/presentation/d/109vtaLhNTKsEWyYtXi2Tl0JeOlVCDXKuZwv2YVD3Kks/edit?usp=sharing" TargetMode="External"/><Relationship Id="rId1" Type="http://schemas.openxmlformats.org/officeDocument/2006/relationships/hyperlink" Target="https://docs.google.com/document/d/1J-cOVrHBrxf1AE8Zy_Fhah9e_UF7deaIYgLOLlnj1LY/edit?usp=sharing" TargetMode="External"/><Relationship Id="rId2" Type="http://schemas.openxmlformats.org/officeDocument/2006/relationships/hyperlink" Target="mailto:alysonbnr@ufc.br" TargetMode="External"/><Relationship Id="rId3" Type="http://schemas.openxmlformats.org/officeDocument/2006/relationships/hyperlink" Target="https://docs.google.com/document/d/1RnhQaxX6FYU0Xd6Z2QaJcKiflUgmV8SZWcCaLb3VXZo/edit?usp=sharing" TargetMode="External"/><Relationship Id="rId4" Type="http://schemas.openxmlformats.org/officeDocument/2006/relationships/hyperlink" Target="mailto:alysonbnr@ufc.br" TargetMode="External"/><Relationship Id="rId9" Type="http://schemas.openxmlformats.org/officeDocument/2006/relationships/hyperlink" Target="mailto:alysonbnr@ufc.br" TargetMode="External"/><Relationship Id="rId48" Type="http://schemas.openxmlformats.org/officeDocument/2006/relationships/hyperlink" Target="mailto:carmorafael@virtual.ufc.br" TargetMode="External"/><Relationship Id="rId47" Type="http://schemas.openxmlformats.org/officeDocument/2006/relationships/hyperlink" Target="https://docs.google.com/document/d/13UFXVQFGCAWyzUu4ojq8MiEwzufaq-yTz2xCQM9bqlI/edit?usp=sharing" TargetMode="External"/><Relationship Id="rId49" Type="http://schemas.openxmlformats.org/officeDocument/2006/relationships/hyperlink" Target="https://docs.google.com/document/d/1MOun2JbisRbgAcG88123ETJqgWOKvilfKGzI7slkaVQ/edit?usp=sharing" TargetMode="External"/><Relationship Id="rId5" Type="http://schemas.openxmlformats.org/officeDocument/2006/relationships/hyperlink" Target="https://docs.google.com/presentation/d/1Li2_BVl7yLjDHLT68DXYo59n5ruaI_iM4vNqanw--Zg/edit?usp=sharing" TargetMode="External"/><Relationship Id="rId6" Type="http://schemas.openxmlformats.org/officeDocument/2006/relationships/hyperlink" Target="mailto:alysonbnr@ufc.br" TargetMode="External"/><Relationship Id="rId7" Type="http://schemas.openxmlformats.org/officeDocument/2006/relationships/hyperlink" Target="https://drive.google.com/open?id=11A6gYEaWQxwP-VknsQG6uaDzMl6ZMotw&amp;usp=drive_fs" TargetMode="External"/><Relationship Id="rId8" Type="http://schemas.openxmlformats.org/officeDocument/2006/relationships/hyperlink" Target="https://docs.google.com/presentation/d/1HJVCmVDQHeMfXOBvyJv3byBYxUcznHLk44JmTyjvnlk/edit?usp=sharing" TargetMode="External"/><Relationship Id="rId31" Type="http://schemas.openxmlformats.org/officeDocument/2006/relationships/hyperlink" Target="mailto:carmorafael@virtual.ufc.br" TargetMode="External"/><Relationship Id="rId30" Type="http://schemas.openxmlformats.org/officeDocument/2006/relationships/hyperlink" Target="https://docs.google.com/document/d/10XQENTz3ugdHOL3Au6jkTcq8uynwM5QnRn7aehm9BMA/edit?usp=sharing" TargetMode="External"/><Relationship Id="rId33" Type="http://schemas.openxmlformats.org/officeDocument/2006/relationships/hyperlink" Target="mailto:carmorafael@virtual.ufc.br" TargetMode="External"/><Relationship Id="rId32" Type="http://schemas.openxmlformats.org/officeDocument/2006/relationships/hyperlink" Target="https://docs.google.com/presentation/d/1_pXBjzD3t5CN595ey_YuouK4Jx46SI0O8KHFD2opdb4/edit?usp=sharing" TargetMode="External"/><Relationship Id="rId35" Type="http://schemas.openxmlformats.org/officeDocument/2006/relationships/hyperlink" Target="https://docs.google.com/document/d/192xL2BUBiFOkHNyj-AXS39lx3VeibcIYEjlBqeaM9tk/edit?usp=sharing" TargetMode="External"/><Relationship Id="rId34" Type="http://schemas.openxmlformats.org/officeDocument/2006/relationships/hyperlink" Target="https://docs.google.com/presentation/d/1YxjKhHVVLmaaKP0SmO5LiKvCISnmMNUwsJYiUW4l-ao/edit?usp=sharing" TargetMode="External"/><Relationship Id="rId37" Type="http://schemas.openxmlformats.org/officeDocument/2006/relationships/hyperlink" Target="https://docs.google.com/document/d/1okhMT8d7BlDJ1JDt2TR5HsPQzgSPHKyzAnVK-539Lok/edit?usp=sharing" TargetMode="External"/><Relationship Id="rId36" Type="http://schemas.openxmlformats.org/officeDocument/2006/relationships/hyperlink" Target="mailto:carmorafael@virtual.ufc.br" TargetMode="External"/><Relationship Id="rId39" Type="http://schemas.openxmlformats.org/officeDocument/2006/relationships/hyperlink" Target="https://docs.google.com/document/d/1o0GC7ucNWs6y39Xc3Jcp5kjd0KZlHDBBIUvC29o9uRI/edit?usp=sharing" TargetMode="External"/><Relationship Id="rId38" Type="http://schemas.openxmlformats.org/officeDocument/2006/relationships/hyperlink" Target="mailto:carmorafael@virtual.ufc.br" TargetMode="External"/><Relationship Id="rId20" Type="http://schemas.openxmlformats.org/officeDocument/2006/relationships/hyperlink" Target="mailto:alysonbnr@ufc.br" TargetMode="External"/><Relationship Id="rId22" Type="http://schemas.openxmlformats.org/officeDocument/2006/relationships/hyperlink" Target="mailto:alysonbnr@ufc.br" TargetMode="External"/><Relationship Id="rId21" Type="http://schemas.openxmlformats.org/officeDocument/2006/relationships/hyperlink" Target="https://docs.google.com/presentation/d/1xxgW7F5raKeLBIyA084xfe_SjDYoaPxhlznapitA3NY/edit?usp=sharing" TargetMode="External"/><Relationship Id="rId24" Type="http://schemas.openxmlformats.org/officeDocument/2006/relationships/hyperlink" Target="https://docs.google.com/document/d/1VrCQ1Y93UnzF4m3Op5N4Fj4RtX10mYUmoAnbaXoUep0/edit?usp=sharing" TargetMode="External"/><Relationship Id="rId23" Type="http://schemas.openxmlformats.org/officeDocument/2006/relationships/hyperlink" Target="https://drive.google.com/open?id=1SZZxuxkLzAd589q8rOPUvMUKwH8qSK_x&amp;usp=drive_fs" TargetMode="External"/><Relationship Id="rId26" Type="http://schemas.openxmlformats.org/officeDocument/2006/relationships/hyperlink" Target="https://docs.google.com/document/d/1p392WM8JvH0aHrt7NSvH3MPUbpYvY0HnyWMXBbg1GF4/edit?usp=sharing" TargetMode="External"/><Relationship Id="rId25" Type="http://schemas.openxmlformats.org/officeDocument/2006/relationships/hyperlink" Target="mailto:alysonbnr@ufc.br" TargetMode="External"/><Relationship Id="rId28" Type="http://schemas.openxmlformats.org/officeDocument/2006/relationships/hyperlink" Target="https://docs.google.com/document/d/1Jeyp3eQeNcKYGc0cabEDwpYNcxA9eIHHbV1R4dBbQ7I/edit?usp=sharing" TargetMode="External"/><Relationship Id="rId27" Type="http://schemas.openxmlformats.org/officeDocument/2006/relationships/hyperlink" Target="mailto:alysonbnr@ufc.br" TargetMode="External"/><Relationship Id="rId29" Type="http://schemas.openxmlformats.org/officeDocument/2006/relationships/hyperlink" Target="mailto:alysonbnr@ufc.br" TargetMode="External"/><Relationship Id="rId51" Type="http://schemas.openxmlformats.org/officeDocument/2006/relationships/hyperlink" Target="https://docs.google.com/document/d/14UCWQyjZyZSNItGfJjz3yt7phVRTbLdN8dj8Lhbvcg8/edit?usp=sharing" TargetMode="External"/><Relationship Id="rId50" Type="http://schemas.openxmlformats.org/officeDocument/2006/relationships/hyperlink" Target="mailto:carmorafael@virtual.ufc.br" TargetMode="External"/><Relationship Id="rId53" Type="http://schemas.openxmlformats.org/officeDocument/2006/relationships/hyperlink" Target="https://docs.google.com/document/d/1gS9UtjkFbvlaPVnMVWq4BO6cVI55IfomuGLdAxANVG0/edit?usp=sharing" TargetMode="External"/><Relationship Id="rId52" Type="http://schemas.openxmlformats.org/officeDocument/2006/relationships/hyperlink" Target="mailto:carmorafael@virtual.ufc.br" TargetMode="External"/><Relationship Id="rId11" Type="http://schemas.openxmlformats.org/officeDocument/2006/relationships/hyperlink" Target="mailto:alysonbnr@ufc.br" TargetMode="External"/><Relationship Id="rId55" Type="http://schemas.openxmlformats.org/officeDocument/2006/relationships/hyperlink" Target="https://docs.google.com/document/d/1ktjSiEFGrzXXZvpRulAmFK0BZwxKIiyfxdS2Rb_WIYk/edit?usp=sharing" TargetMode="External"/><Relationship Id="rId10" Type="http://schemas.openxmlformats.org/officeDocument/2006/relationships/hyperlink" Target="https://docs.google.com/document/d/1ET-YNdX8fbl3XBUmUt-Yltp_yLFKMnoP2CB4aIOOh3w/edit?usp=sharing" TargetMode="External"/><Relationship Id="rId54" Type="http://schemas.openxmlformats.org/officeDocument/2006/relationships/hyperlink" Target="mailto:carmorafael@virtual.ufc.br" TargetMode="External"/><Relationship Id="rId13" Type="http://schemas.openxmlformats.org/officeDocument/2006/relationships/hyperlink" Target="mailto:alysonbnr@ufc.br" TargetMode="External"/><Relationship Id="rId57" Type="http://schemas.openxmlformats.org/officeDocument/2006/relationships/drawing" Target="../drawings/drawing3.xml"/><Relationship Id="rId12" Type="http://schemas.openxmlformats.org/officeDocument/2006/relationships/hyperlink" Target="https://docs.google.com/document/d/1tLdw7Wlo6NbCzU6e2VacXYByKesaJJyy88OkCvkPIH8/edit?usp=sharing" TargetMode="External"/><Relationship Id="rId56" Type="http://schemas.openxmlformats.org/officeDocument/2006/relationships/hyperlink" Target="mailto:carmorafael@virtual.ufc.br" TargetMode="External"/><Relationship Id="rId15" Type="http://schemas.openxmlformats.org/officeDocument/2006/relationships/hyperlink" Target="mailto:alysonbnr@ufc.br" TargetMode="External"/><Relationship Id="rId59" Type="http://schemas.openxmlformats.org/officeDocument/2006/relationships/table" Target="../tables/table3.xml"/><Relationship Id="rId14" Type="http://schemas.openxmlformats.org/officeDocument/2006/relationships/hyperlink" Target="https://docs.google.com/presentation/d/191FvRL08pXgFNyCwytKqpVc9a1cElezDixq79qgxQbw/edit?usp=sharing" TargetMode="External"/><Relationship Id="rId17" Type="http://schemas.openxmlformats.org/officeDocument/2006/relationships/hyperlink" Target="https://docs.google.com/document/d/1DkdTpkI_HDawhUE-bVHvSyDSF_vg3qRK061VM3sBqIM/edit?usp=sharing" TargetMode="External"/><Relationship Id="rId16" Type="http://schemas.openxmlformats.org/officeDocument/2006/relationships/hyperlink" Target="https://drive.google.com/open?id=1iUgUaSB6JVu84E4Qs8odrGUgVv9dWrx-&amp;usp=drive_fs" TargetMode="External"/><Relationship Id="rId19" Type="http://schemas.openxmlformats.org/officeDocument/2006/relationships/hyperlink" Target="https://docs.google.com/document/d/1gd0uPvfIJ_5Vy3siOyH4Jd5eU1NbxVmLlecXdaP5jOk/edit?usp=sharing" TargetMode="External"/><Relationship Id="rId18" Type="http://schemas.openxmlformats.org/officeDocument/2006/relationships/hyperlink" Target="mailto:alysonbnr@ufc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3.0"/>
    <col customWidth="1" min="2" max="2" width="10.63"/>
    <col customWidth="1" min="3" max="3" width="19.13"/>
    <col customWidth="1" min="4" max="4" width="16.88"/>
    <col customWidth="1" min="5" max="5" width="22.5"/>
    <col customWidth="1" min="6" max="6" width="6.75"/>
    <col customWidth="1" min="7" max="7" width="31.25"/>
    <col customWidth="1" min="8" max="8" width="17.75"/>
    <col customWidth="1" min="9" max="9" width="20.13"/>
    <col customWidth="1" min="10" max="10" width="21.75"/>
    <col customWidth="1" min="11" max="11" width="16.25"/>
    <col customWidth="1" min="12" max="12" width="20.13"/>
    <col customWidth="1" min="13" max="13" width="21.75"/>
    <col customWidth="1" min="14" max="14" width="16.63"/>
    <col customWidth="1" min="15" max="15" width="20.13"/>
    <col customWidth="1" min="16" max="17" width="21.75"/>
    <col customWidth="1" min="18" max="18" width="20.13"/>
    <col customWidth="1" min="19" max="19" width="21.75"/>
    <col customWidth="1" min="20" max="20" width="16.25"/>
    <col customWidth="1" min="21" max="21" width="20.13"/>
    <col customWidth="1" min="22" max="22" width="21.75"/>
    <col customWidth="1" min="23" max="23" width="16.25"/>
    <col customWidth="1" min="24" max="24" width="20.13"/>
    <col customWidth="1" min="25" max="25" width="21.75"/>
    <col customWidth="1" min="26" max="26" width="30.13"/>
    <col customWidth="1" min="27" max="27" width="16.25"/>
    <col customWidth="1" min="28" max="28" width="20.13"/>
    <col customWidth="1" min="29" max="29" width="21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1" t="s">
        <v>26</v>
      </c>
      <c r="AB1" s="1" t="s">
        <v>27</v>
      </c>
      <c r="AC1" s="1" t="s">
        <v>28</v>
      </c>
    </row>
    <row r="2" ht="22.5" hidden="1" customHeight="1">
      <c r="A2" s="5">
        <v>1.0</v>
      </c>
      <c r="B2" s="5">
        <v>1.0</v>
      </c>
      <c r="C2" s="5" t="s">
        <v>29</v>
      </c>
      <c r="D2" s="6" t="s">
        <v>30</v>
      </c>
      <c r="E2" s="7" t="str">
        <f>IFERROR(__xludf.DUMMYFUNCTION("IF(AND(F2 &gt; 0.3, F2 &lt; 0.5), SPARKLINE(F2,{""charttype"",""bar"";""color1"",""Gold"";""max"",1}),
IF(F2 = 1, SPARKLINE(F2,{""charttype"",""bar"";""color1"",""Lime"";""max"",1}),
IF(F2 &gt;= 0.5, SPARKLINE(F2,{""charttype"",""bar"";""color1"",""GreenYellow"";"&amp;"""max"",1}),
SPARKLINE(F2,{""charttype"",""bar"";""color1"",""DarkOrange"";""max"",1}))))"),"")</f>
        <v/>
      </c>
      <c r="F2" s="8">
        <f t="shared" ref="F2:F17" si="1">IF(OR(D2="ROTEIRO DE VÍDEO", D2="VÍDEO"), (IF(J2="Concluído", 1, 0) + IF(M2="Concluído", 1, 0) + IF(P2="Concluído", 1, 0) + IF(S2="Concluído", 1, 0) + IF(Y2="Concluído", 1, 0) + IF(AC2="Concluído", 1, 0)) / 6,
IF(OR(D2="SLIDE", D2="FÓRUM", D2="PLANO DE AULA", D2="QUIZ", D2="TAREFA", D2="EBOOK", D2="PDF(AVULSO)"), (IF(J2="Concluído", 1, 0) + IF(M2="Concluído", 1, 0) + IF(S2="Concluído", 1, 0)  + IF(Y2="Concluído", 1, 0) + IF(AC2="Concluído", 1, 0)) / 5,0))</f>
        <v>0.5</v>
      </c>
      <c r="G2" s="9" t="s">
        <v>31</v>
      </c>
      <c r="H2" s="9" t="s">
        <v>32</v>
      </c>
      <c r="I2" s="10">
        <v>46073.0</v>
      </c>
      <c r="J2" s="11" t="s">
        <v>33</v>
      </c>
      <c r="K2" s="5" t="s">
        <v>34</v>
      </c>
      <c r="L2" s="10">
        <v>46069.0</v>
      </c>
      <c r="M2" s="11" t="s">
        <v>33</v>
      </c>
      <c r="N2" s="5"/>
      <c r="O2" s="10"/>
      <c r="P2" s="12"/>
      <c r="Q2" s="13" t="s">
        <v>35</v>
      </c>
      <c r="R2" s="10">
        <v>46101.0</v>
      </c>
      <c r="S2" s="12" t="s">
        <v>33</v>
      </c>
      <c r="T2" s="5"/>
      <c r="U2" s="10"/>
      <c r="V2" s="12"/>
      <c r="W2" s="5"/>
      <c r="X2" s="10"/>
      <c r="Y2" s="12"/>
      <c r="Z2" s="14"/>
      <c r="AA2" s="5" t="s">
        <v>36</v>
      </c>
      <c r="AB2" s="10"/>
      <c r="AC2" s="11"/>
    </row>
    <row r="3" ht="22.5" hidden="1" customHeight="1">
      <c r="A3" s="5">
        <v>1.0</v>
      </c>
      <c r="B3" s="5">
        <v>1.0</v>
      </c>
      <c r="C3" s="5" t="s">
        <v>37</v>
      </c>
      <c r="D3" s="6" t="s">
        <v>38</v>
      </c>
      <c r="E3" s="7" t="str">
        <f>IFERROR(__xludf.DUMMYFUNCTION("IF(AND(F3 &gt; 0.3, F3 &lt; 0.5), SPARKLINE(F3,{""charttype"",""bar"";""color1"",""Gold"";""max"",1}),
IF(F3 = 1, SPARKLINE(F3,{""charttype"",""bar"";""color1"",""Lime"";""max"",1}),
IF(F3 &gt;= 0.5, SPARKLINE(F3,{""charttype"",""bar"";""color1"",""GreenYellow"";"&amp;"""max"",1}),
SPARKLINE(F3,{""charttype"",""bar"";""color1"",""DarkOrange"";""max"",1}))))"),"")</f>
        <v/>
      </c>
      <c r="F3" s="8">
        <f t="shared" si="1"/>
        <v>0.8</v>
      </c>
      <c r="G3" s="15" t="s">
        <v>39</v>
      </c>
      <c r="H3" s="9" t="s">
        <v>32</v>
      </c>
      <c r="I3" s="10">
        <v>46073.0</v>
      </c>
      <c r="J3" s="11" t="s">
        <v>33</v>
      </c>
      <c r="K3" s="5" t="s">
        <v>34</v>
      </c>
      <c r="L3" s="10">
        <v>46069.0</v>
      </c>
      <c r="M3" s="11" t="s">
        <v>33</v>
      </c>
      <c r="N3" s="5"/>
      <c r="O3" s="10"/>
      <c r="P3" s="11"/>
      <c r="Q3" s="13" t="s">
        <v>35</v>
      </c>
      <c r="R3" s="10">
        <v>46101.0</v>
      </c>
      <c r="S3" s="11" t="s">
        <v>33</v>
      </c>
      <c r="T3" s="5"/>
      <c r="U3" s="10"/>
      <c r="V3" s="11"/>
      <c r="W3" s="5" t="s">
        <v>40</v>
      </c>
      <c r="X3" s="10"/>
      <c r="Y3" s="11" t="s">
        <v>33</v>
      </c>
      <c r="Z3" s="15" t="s">
        <v>41</v>
      </c>
      <c r="AA3" s="5" t="s">
        <v>36</v>
      </c>
      <c r="AB3" s="10"/>
      <c r="AC3" s="11" t="s">
        <v>42</v>
      </c>
    </row>
    <row r="4" ht="22.5" hidden="1" customHeight="1">
      <c r="A4" s="5">
        <v>1.0</v>
      </c>
      <c r="B4" s="5">
        <v>1.0</v>
      </c>
      <c r="C4" s="5" t="s">
        <v>43</v>
      </c>
      <c r="D4" s="6" t="s">
        <v>44</v>
      </c>
      <c r="E4" s="7" t="str">
        <f>IFERROR(__xludf.DUMMYFUNCTION("IF(AND(F4 &gt; 0.3, F4 &lt; 0.5), SPARKLINE(F4,{""charttype"",""bar"";""color1"",""Gold"";""max"",1}),
IF(F4 = 1, SPARKLINE(F4,{""charttype"",""bar"";""color1"",""Lime"";""max"",1}),
IF(F4 &gt;= 0.5, SPARKLINE(F4,{""charttype"",""bar"";""color1"",""GreenYellow"";"&amp;"""max"",1}),
SPARKLINE(F4,{""charttype"",""bar"";""color1"",""DarkOrange"";""max"",1}))))"),"")</f>
        <v/>
      </c>
      <c r="F4" s="8">
        <f t="shared" si="1"/>
        <v>0.8</v>
      </c>
      <c r="G4" s="16" t="s">
        <v>45</v>
      </c>
      <c r="H4" s="9" t="s">
        <v>32</v>
      </c>
      <c r="I4" s="10">
        <v>46073.0</v>
      </c>
      <c r="J4" s="11" t="s">
        <v>33</v>
      </c>
      <c r="K4" s="5" t="s">
        <v>34</v>
      </c>
      <c r="L4" s="10">
        <v>46069.0</v>
      </c>
      <c r="M4" s="11" t="s">
        <v>33</v>
      </c>
      <c r="N4" s="5"/>
      <c r="O4" s="10"/>
      <c r="P4" s="11"/>
      <c r="Q4" s="13" t="s">
        <v>35</v>
      </c>
      <c r="R4" s="10">
        <v>46101.0</v>
      </c>
      <c r="S4" s="11" t="s">
        <v>33</v>
      </c>
      <c r="T4" s="5"/>
      <c r="U4" s="10"/>
      <c r="V4" s="11"/>
      <c r="W4" s="5" t="s">
        <v>40</v>
      </c>
      <c r="X4" s="10"/>
      <c r="Y4" s="11" t="s">
        <v>33</v>
      </c>
      <c r="Z4" s="15" t="s">
        <v>46</v>
      </c>
      <c r="AA4" s="5" t="s">
        <v>36</v>
      </c>
      <c r="AB4" s="10"/>
      <c r="AC4" s="11"/>
    </row>
    <row r="5" ht="22.5" customHeight="1">
      <c r="A5" s="5">
        <v>1.0</v>
      </c>
      <c r="B5" s="5">
        <v>1.0</v>
      </c>
      <c r="C5" s="5" t="s">
        <v>47</v>
      </c>
      <c r="D5" s="17" t="s">
        <v>48</v>
      </c>
      <c r="E5" s="7" t="str">
        <f>IFERROR(__xludf.DUMMYFUNCTION("IF(AND(F5 &gt; 0.3, F5 &lt; 0.5), SPARKLINE(F5,{""charttype"",""bar"";""color1"",""Gold"";""max"",1}),
IF(F5 = 1, SPARKLINE(F5,{""charttype"",""bar"";""color1"",""Lime"";""max"",1}),
IF(F5 &gt;= 0.5, SPARKLINE(F5,{""charttype"",""bar"";""color1"",""GreenYellow"";"&amp;"""max"",1}),
SPARKLINE(F5,{""charttype"",""bar"";""color1"",""DarkOrange"";""max"",1}))))"),"")</f>
        <v/>
      </c>
      <c r="F5" s="8">
        <f t="shared" si="1"/>
        <v>0.8</v>
      </c>
      <c r="G5" s="15" t="s">
        <v>49</v>
      </c>
      <c r="H5" s="9" t="s">
        <v>32</v>
      </c>
      <c r="I5" s="10">
        <v>46073.0</v>
      </c>
      <c r="J5" s="11" t="s">
        <v>33</v>
      </c>
      <c r="K5" s="5" t="s">
        <v>34</v>
      </c>
      <c r="L5" s="10">
        <v>46069.0</v>
      </c>
      <c r="M5" s="11" t="s">
        <v>33</v>
      </c>
      <c r="N5" s="5"/>
      <c r="O5" s="10"/>
      <c r="P5" s="11"/>
      <c r="Q5" s="13" t="s">
        <v>35</v>
      </c>
      <c r="R5" s="10">
        <v>46101.0</v>
      </c>
      <c r="S5" s="11" t="s">
        <v>33</v>
      </c>
      <c r="T5" s="5"/>
      <c r="U5" s="10"/>
      <c r="V5" s="11"/>
      <c r="W5" s="5" t="s">
        <v>40</v>
      </c>
      <c r="X5" s="10"/>
      <c r="Y5" s="11" t="s">
        <v>33</v>
      </c>
      <c r="Z5" s="15" t="s">
        <v>50</v>
      </c>
      <c r="AA5" s="5" t="s">
        <v>36</v>
      </c>
      <c r="AB5" s="10"/>
      <c r="AC5" s="11"/>
    </row>
    <row r="6" ht="22.5" hidden="1" customHeight="1">
      <c r="A6" s="5">
        <v>1.0</v>
      </c>
      <c r="B6" s="5">
        <v>1.0</v>
      </c>
      <c r="C6" s="5" t="s">
        <v>51</v>
      </c>
      <c r="D6" s="17" t="s">
        <v>44</v>
      </c>
      <c r="E6" s="7" t="str">
        <f>IFERROR(__xludf.DUMMYFUNCTION("IF(AND(F6 &gt; 0.3, F6 &lt; 0.5), SPARKLINE(F6,{""charttype"",""bar"";""color1"",""Gold"";""max"",1}),
IF(F6 = 1, SPARKLINE(F6,{""charttype"",""bar"";""color1"",""Lime"";""max"",1}),
IF(F6 &gt;= 0.5, SPARKLINE(F6,{""charttype"",""bar"";""color1"",""GreenYellow"";"&amp;"""max"",1}),
SPARKLINE(F6,{""charttype"",""bar"";""color1"",""DarkOrange"";""max"",1}))))"),"")</f>
        <v/>
      </c>
      <c r="F6" s="8">
        <f t="shared" si="1"/>
        <v>0.8</v>
      </c>
      <c r="G6" s="15" t="s">
        <v>52</v>
      </c>
      <c r="H6" s="9" t="s">
        <v>32</v>
      </c>
      <c r="I6" s="10">
        <v>46073.0</v>
      </c>
      <c r="J6" s="11" t="s">
        <v>33</v>
      </c>
      <c r="K6" s="5" t="s">
        <v>34</v>
      </c>
      <c r="L6" s="10">
        <v>46069.0</v>
      </c>
      <c r="M6" s="11" t="s">
        <v>33</v>
      </c>
      <c r="N6" s="5"/>
      <c r="O6" s="10"/>
      <c r="P6" s="11"/>
      <c r="Q6" s="13" t="s">
        <v>35</v>
      </c>
      <c r="R6" s="10">
        <v>46101.0</v>
      </c>
      <c r="S6" s="11" t="s">
        <v>33</v>
      </c>
      <c r="T6" s="5"/>
      <c r="U6" s="10"/>
      <c r="V6" s="11"/>
      <c r="W6" s="5" t="s">
        <v>40</v>
      </c>
      <c r="X6" s="10"/>
      <c r="Y6" s="11" t="s">
        <v>33</v>
      </c>
      <c r="Z6" s="18" t="s">
        <v>53</v>
      </c>
      <c r="AA6" s="5" t="s">
        <v>36</v>
      </c>
      <c r="AB6" s="10"/>
      <c r="AC6" s="11"/>
    </row>
    <row r="7" ht="22.5" hidden="1" customHeight="1">
      <c r="A7" s="5">
        <v>1.0</v>
      </c>
      <c r="B7" s="5">
        <v>1.0</v>
      </c>
      <c r="C7" s="5" t="s">
        <v>54</v>
      </c>
      <c r="D7" s="17" t="s">
        <v>55</v>
      </c>
      <c r="E7" s="7" t="str">
        <f>IFERROR(__xludf.DUMMYFUNCTION("IF(AND(F7 &gt; 0.3, F7 &lt; 0.5), SPARKLINE(F7,{""charttype"",""bar"";""color1"",""Gold"";""max"",1}),
IF(F7 = 1, SPARKLINE(F7,{""charttype"",""bar"";""color1"",""Lime"";""max"",1}),
IF(F7 &gt;= 0.5, SPARKLINE(F7,{""charttype"",""bar"";""color1"",""GreenYellow"";"&amp;"""max"",1}),
SPARKLINE(F7,{""charttype"",""bar"";""color1"",""DarkOrange"";""max"",1}))))"),"")</f>
        <v/>
      </c>
      <c r="F7" s="8">
        <f t="shared" si="1"/>
        <v>0.6</v>
      </c>
      <c r="G7" s="15" t="s">
        <v>56</v>
      </c>
      <c r="H7" s="9" t="s">
        <v>57</v>
      </c>
      <c r="I7" s="10">
        <v>46073.0</v>
      </c>
      <c r="J7" s="11" t="s">
        <v>33</v>
      </c>
      <c r="K7" s="5" t="s">
        <v>34</v>
      </c>
      <c r="L7" s="10">
        <v>46069.0</v>
      </c>
      <c r="M7" s="11" t="s">
        <v>33</v>
      </c>
      <c r="N7" s="5"/>
      <c r="O7" s="10"/>
      <c r="P7" s="11" t="s">
        <v>42</v>
      </c>
      <c r="Q7" s="13" t="s">
        <v>35</v>
      </c>
      <c r="R7" s="10">
        <v>46101.0</v>
      </c>
      <c r="S7" s="11" t="s">
        <v>33</v>
      </c>
      <c r="T7" s="5"/>
      <c r="U7" s="10"/>
      <c r="V7" s="11"/>
      <c r="W7" s="5" t="s">
        <v>40</v>
      </c>
      <c r="X7" s="10"/>
      <c r="Y7" s="11"/>
      <c r="Z7" s="14"/>
      <c r="AA7" s="5" t="s">
        <v>36</v>
      </c>
      <c r="AB7" s="10"/>
      <c r="AC7" s="11"/>
    </row>
    <row r="8" ht="22.5" hidden="1" customHeight="1">
      <c r="A8" s="5">
        <v>1.0</v>
      </c>
      <c r="B8" s="5">
        <v>1.0</v>
      </c>
      <c r="C8" s="5" t="s">
        <v>58</v>
      </c>
      <c r="D8" s="17" t="s">
        <v>59</v>
      </c>
      <c r="E8" s="7" t="str">
        <f>IFERROR(__xludf.DUMMYFUNCTION("IF(AND(F8 &gt; 0.3, F8 &lt; 0.5), SPARKLINE(F8,{""charttype"",""bar"";""color1"",""Gold"";""max"",1}),
IF(F8 = 1, SPARKLINE(F8,{""charttype"",""bar"";""color1"",""Lime"";""max"",1}),
IF(F8 &gt;= 0.5, SPARKLINE(F8,{""charttype"",""bar"";""color1"",""GreenYellow"";"&amp;"""max"",1}),
SPARKLINE(F8,{""charttype"",""bar"";""color1"",""DarkOrange"";""max"",1}))))"),"")</f>
        <v/>
      </c>
      <c r="F8" s="8">
        <f t="shared" si="1"/>
        <v>0.6</v>
      </c>
      <c r="G8" s="15" t="s">
        <v>60</v>
      </c>
      <c r="H8" s="9" t="s">
        <v>57</v>
      </c>
      <c r="I8" s="10">
        <v>46073.0</v>
      </c>
      <c r="J8" s="11" t="s">
        <v>33</v>
      </c>
      <c r="K8" s="5" t="s">
        <v>34</v>
      </c>
      <c r="L8" s="10">
        <v>46069.0</v>
      </c>
      <c r="M8" s="11" t="s">
        <v>33</v>
      </c>
      <c r="N8" s="5"/>
      <c r="O8" s="10"/>
      <c r="P8" s="11"/>
      <c r="Q8" s="13" t="s">
        <v>35</v>
      </c>
      <c r="R8" s="10">
        <v>46101.0</v>
      </c>
      <c r="S8" s="11" t="s">
        <v>33</v>
      </c>
      <c r="T8" s="5"/>
      <c r="U8" s="10"/>
      <c r="V8" s="11"/>
      <c r="W8" s="5" t="s">
        <v>40</v>
      </c>
      <c r="X8" s="10"/>
      <c r="Y8" s="11"/>
      <c r="Z8" s="19"/>
      <c r="AA8" s="5" t="s">
        <v>36</v>
      </c>
      <c r="AB8" s="10"/>
      <c r="AC8" s="11"/>
    </row>
    <row r="9" ht="22.5" customHeight="1">
      <c r="A9" s="5">
        <v>1.0</v>
      </c>
      <c r="B9" s="5">
        <v>1.0</v>
      </c>
      <c r="C9" s="5" t="s">
        <v>61</v>
      </c>
      <c r="D9" s="17" t="s">
        <v>48</v>
      </c>
      <c r="E9" s="7" t="str">
        <f>IFERROR(__xludf.DUMMYFUNCTION("IF(AND(F9 &gt; 0.3, F9 &lt; 0.5), SPARKLINE(F9,{""charttype"",""bar"";""color1"",""Gold"";""max"",1}),
IF(F9 = 1, SPARKLINE(F9,{""charttype"",""bar"";""color1"",""Lime"";""max"",1}),
IF(F9 &gt;= 0.5, SPARKLINE(F9,{""charttype"",""bar"";""color1"",""GreenYellow"";"&amp;"""max"",1}),
SPARKLINE(F9,{""charttype"",""bar"";""color1"",""DarkOrange"";""max"",1}))))"),"")</f>
        <v/>
      </c>
      <c r="F9" s="8">
        <f t="shared" si="1"/>
        <v>0.6</v>
      </c>
      <c r="G9" s="20" t="s">
        <v>62</v>
      </c>
      <c r="H9" s="9" t="s">
        <v>57</v>
      </c>
      <c r="I9" s="10">
        <v>46073.0</v>
      </c>
      <c r="J9" s="11" t="s">
        <v>33</v>
      </c>
      <c r="K9" s="5" t="s">
        <v>34</v>
      </c>
      <c r="L9" s="10">
        <v>46069.0</v>
      </c>
      <c r="M9" s="11" t="s">
        <v>33</v>
      </c>
      <c r="N9" s="5"/>
      <c r="O9" s="10"/>
      <c r="P9" s="11"/>
      <c r="Q9" s="13" t="s">
        <v>35</v>
      </c>
      <c r="R9" s="10">
        <v>46101.0</v>
      </c>
      <c r="S9" s="11" t="s">
        <v>33</v>
      </c>
      <c r="T9" s="5"/>
      <c r="U9" s="10"/>
      <c r="V9" s="11"/>
      <c r="W9" s="5" t="s">
        <v>40</v>
      </c>
      <c r="X9" s="10"/>
      <c r="Y9" s="11" t="s">
        <v>63</v>
      </c>
      <c r="Z9" s="21"/>
      <c r="AA9" s="5" t="s">
        <v>36</v>
      </c>
      <c r="AB9" s="10"/>
      <c r="AC9" s="11"/>
    </row>
    <row r="10" ht="22.5" hidden="1" customHeight="1">
      <c r="A10" s="5">
        <v>1.0</v>
      </c>
      <c r="B10" s="5">
        <v>1.0</v>
      </c>
      <c r="C10" s="5" t="s">
        <v>64</v>
      </c>
      <c r="D10" s="17" t="s">
        <v>38</v>
      </c>
      <c r="E10" s="7" t="str">
        <f>IFERROR(__xludf.DUMMYFUNCTION("IF(AND(F10 &gt; 0.3, F10 &lt; 0.5), SPARKLINE(F10,{""charttype"",""bar"";""color1"",""Gold"";""max"",1}),
IF(F10 = 1, SPARKLINE(F10,{""charttype"",""bar"";""color1"",""Lime"";""max"",1}),
IF(F10 &gt;= 0.5, SPARKLINE(F10,{""charttype"",""bar"";""color1"",""GreenYel"&amp;"low"";""max"",1}),
SPARKLINE(F10,{""charttype"",""bar"";""color1"",""DarkOrange"";""max"",1}))))"),"")</f>
        <v/>
      </c>
      <c r="F10" s="8">
        <f t="shared" si="1"/>
        <v>0.8</v>
      </c>
      <c r="G10" s="16" t="s">
        <v>65</v>
      </c>
      <c r="H10" s="9" t="s">
        <v>57</v>
      </c>
      <c r="I10" s="10">
        <v>46073.0</v>
      </c>
      <c r="J10" s="11" t="s">
        <v>33</v>
      </c>
      <c r="K10" s="5" t="s">
        <v>34</v>
      </c>
      <c r="L10" s="10">
        <v>46069.0</v>
      </c>
      <c r="M10" s="11" t="s">
        <v>33</v>
      </c>
      <c r="N10" s="5"/>
      <c r="O10" s="10"/>
      <c r="P10" s="11"/>
      <c r="Q10" s="13" t="s">
        <v>35</v>
      </c>
      <c r="R10" s="10">
        <v>46101.0</v>
      </c>
      <c r="S10" s="11" t="s">
        <v>33</v>
      </c>
      <c r="T10" s="5"/>
      <c r="U10" s="10"/>
      <c r="V10" s="11"/>
      <c r="W10" s="5" t="s">
        <v>40</v>
      </c>
      <c r="X10" s="10"/>
      <c r="Y10" s="11" t="s">
        <v>33</v>
      </c>
      <c r="Z10" s="16" t="s">
        <v>66</v>
      </c>
      <c r="AA10" s="5" t="s">
        <v>36</v>
      </c>
      <c r="AB10" s="10"/>
      <c r="AC10" s="11" t="s">
        <v>42</v>
      </c>
    </row>
    <row r="11" ht="22.5" hidden="1" customHeight="1">
      <c r="A11" s="5">
        <v>1.0</v>
      </c>
      <c r="B11" s="5">
        <v>1.0</v>
      </c>
      <c r="C11" s="5" t="s">
        <v>67</v>
      </c>
      <c r="D11" s="17" t="s">
        <v>55</v>
      </c>
      <c r="E11" s="7" t="str">
        <f>IFERROR(__xludf.DUMMYFUNCTION("IF(AND(F11 &gt; 0.3, F11 &lt; 0.5), SPARKLINE(F11,{""charttype"",""bar"";""color1"",""Gold"";""max"",1}),
IF(F11 = 1, SPARKLINE(F11,{""charttype"",""bar"";""color1"",""Lime"";""max"",1}),
IF(F11 &gt;= 0.5, SPARKLINE(F11,{""charttype"",""bar"";""color1"",""GreenYel"&amp;"low"";""max"",1}),
SPARKLINE(F11,{""charttype"",""bar"";""color1"",""DarkOrange"";""max"",1}))))"),"")</f>
        <v/>
      </c>
      <c r="F11" s="8">
        <f t="shared" si="1"/>
        <v>0.4</v>
      </c>
      <c r="G11" s="16" t="s">
        <v>68</v>
      </c>
      <c r="H11" s="9" t="s">
        <v>32</v>
      </c>
      <c r="I11" s="10">
        <v>46073.0</v>
      </c>
      <c r="J11" s="11" t="s">
        <v>33</v>
      </c>
      <c r="K11" s="5" t="s">
        <v>34</v>
      </c>
      <c r="L11" s="10">
        <v>46069.0</v>
      </c>
      <c r="M11" s="11" t="s">
        <v>33</v>
      </c>
      <c r="N11" s="5"/>
      <c r="O11" s="10"/>
      <c r="P11" s="11"/>
      <c r="Q11" s="13" t="s">
        <v>35</v>
      </c>
      <c r="R11" s="10">
        <v>46101.0</v>
      </c>
      <c r="S11" s="11" t="s">
        <v>69</v>
      </c>
      <c r="T11" s="5"/>
      <c r="U11" s="10"/>
      <c r="V11" s="11"/>
      <c r="W11" s="5" t="s">
        <v>40</v>
      </c>
      <c r="X11" s="10"/>
      <c r="Y11" s="11"/>
      <c r="Z11" s="19"/>
      <c r="AA11" s="5" t="s">
        <v>36</v>
      </c>
      <c r="AB11" s="10"/>
      <c r="AC11" s="11"/>
    </row>
    <row r="12" ht="22.5" hidden="1" customHeight="1">
      <c r="A12" s="5">
        <v>1.0</v>
      </c>
      <c r="B12" s="5">
        <v>1.0</v>
      </c>
      <c r="C12" s="5" t="s">
        <v>70</v>
      </c>
      <c r="D12" s="6" t="s">
        <v>71</v>
      </c>
      <c r="E12" s="7" t="str">
        <f>IFERROR(__xludf.DUMMYFUNCTION("IF(AND(F12 &gt; 0.3, F12 &lt; 0.5), SPARKLINE(F12,{""charttype"",""bar"";""color1"",""Gold"";""max"",1}),
IF(F12 = 1, SPARKLINE(F12,{""charttype"",""bar"";""color1"",""Lime"";""max"",1}),
IF(F12 &gt;= 0.5, SPARKLINE(F12,{""charttype"",""bar"";""color1"",""GreenYel"&amp;"low"";""max"",1}),
SPARKLINE(F12,{""charttype"",""bar"";""color1"",""DarkOrange"";""max"",1}))))"),"")</f>
        <v/>
      </c>
      <c r="F12" s="8">
        <f t="shared" si="1"/>
        <v>0.6</v>
      </c>
      <c r="G12" s="18" t="s">
        <v>72</v>
      </c>
      <c r="H12" s="9" t="s">
        <v>32</v>
      </c>
      <c r="I12" s="10">
        <v>46073.0</v>
      </c>
      <c r="J12" s="11" t="s">
        <v>33</v>
      </c>
      <c r="K12" s="5" t="s">
        <v>34</v>
      </c>
      <c r="L12" s="10">
        <v>46069.0</v>
      </c>
      <c r="M12" s="11" t="s">
        <v>33</v>
      </c>
      <c r="N12" s="5"/>
      <c r="O12" s="10"/>
      <c r="P12" s="11"/>
      <c r="Q12" s="13" t="s">
        <v>35</v>
      </c>
      <c r="R12" s="10">
        <v>46101.0</v>
      </c>
      <c r="S12" s="11" t="s">
        <v>33</v>
      </c>
      <c r="T12" s="5"/>
      <c r="U12" s="10"/>
      <c r="V12" s="11"/>
      <c r="W12" s="5" t="s">
        <v>40</v>
      </c>
      <c r="X12" s="10"/>
      <c r="Y12" s="11"/>
      <c r="Z12" s="14"/>
      <c r="AA12" s="5" t="s">
        <v>36</v>
      </c>
      <c r="AB12" s="10"/>
      <c r="AC12" s="11"/>
    </row>
    <row r="13" ht="22.5" customHeight="1">
      <c r="A13" s="5">
        <v>1.0</v>
      </c>
      <c r="B13" s="5">
        <v>1.0</v>
      </c>
      <c r="C13" s="5" t="s">
        <v>73</v>
      </c>
      <c r="D13" s="6" t="s">
        <v>48</v>
      </c>
      <c r="E13" s="7" t="str">
        <f>IFERROR(__xludf.DUMMYFUNCTION("IF(AND(F13 &gt; 0.3, F13 &lt; 0.5), SPARKLINE(F13,{""charttype"",""bar"";""color1"",""Gold"";""max"",1}),
IF(F13 = 1, SPARKLINE(F13,{""charttype"",""bar"";""color1"",""Lime"";""max"",1}),
IF(F13 &gt;= 0.5, SPARKLINE(F13,{""charttype"",""bar"";""color1"",""GreenYel"&amp;"low"";""max"",1}),
SPARKLINE(F13,{""charttype"",""bar"";""color1"",""DarkOrange"";""max"",1}))))"),"")</f>
        <v/>
      </c>
      <c r="F13" s="8">
        <f t="shared" si="1"/>
        <v>0.6</v>
      </c>
      <c r="G13" s="15" t="s">
        <v>74</v>
      </c>
      <c r="H13" s="9" t="s">
        <v>75</v>
      </c>
      <c r="I13" s="10">
        <v>46073.0</v>
      </c>
      <c r="J13" s="11" t="s">
        <v>33</v>
      </c>
      <c r="K13" s="5" t="s">
        <v>34</v>
      </c>
      <c r="L13" s="10">
        <v>46069.0</v>
      </c>
      <c r="M13" s="11" t="s">
        <v>33</v>
      </c>
      <c r="N13" s="5"/>
      <c r="O13" s="10"/>
      <c r="P13" s="11"/>
      <c r="Q13" s="13" t="s">
        <v>35</v>
      </c>
      <c r="R13" s="10">
        <v>46101.0</v>
      </c>
      <c r="S13" s="11" t="s">
        <v>33</v>
      </c>
      <c r="T13" s="5"/>
      <c r="U13" s="10"/>
      <c r="V13" s="11"/>
      <c r="W13" s="5" t="s">
        <v>40</v>
      </c>
      <c r="X13" s="10"/>
      <c r="Y13" s="11"/>
      <c r="Z13" s="14"/>
      <c r="AA13" s="5" t="s">
        <v>36</v>
      </c>
      <c r="AB13" s="10"/>
      <c r="AC13" s="11"/>
    </row>
    <row r="14" ht="22.5" hidden="1" customHeight="1">
      <c r="A14" s="5">
        <v>1.0</v>
      </c>
      <c r="B14" s="5">
        <v>1.0</v>
      </c>
      <c r="C14" s="5" t="s">
        <v>76</v>
      </c>
      <c r="D14" s="6" t="s">
        <v>38</v>
      </c>
      <c r="E14" s="7" t="str">
        <f>IFERROR(__xludf.DUMMYFUNCTION("IF(AND(F14 &gt; 0.3, F14 &lt; 0.5), SPARKLINE(F14,{""charttype"",""bar"";""color1"",""Gold"";""max"",1}),
IF(F14 = 1, SPARKLINE(F14,{""charttype"",""bar"";""color1"",""Lime"";""max"",1}),
IF(F14 &gt;= 0.5, SPARKLINE(F14,{""charttype"",""bar"";""color1"",""GreenYel"&amp;"low"";""max"",1}),
SPARKLINE(F14,{""charttype"",""bar"";""color1"",""DarkOrange"";""max"",1}))))"),"")</f>
        <v/>
      </c>
      <c r="F14" s="8">
        <f t="shared" si="1"/>
        <v>0.8</v>
      </c>
      <c r="G14" s="15" t="s">
        <v>77</v>
      </c>
      <c r="H14" s="9" t="s">
        <v>75</v>
      </c>
      <c r="I14" s="10">
        <v>46073.0</v>
      </c>
      <c r="J14" s="11" t="s">
        <v>33</v>
      </c>
      <c r="K14" s="5" t="s">
        <v>34</v>
      </c>
      <c r="L14" s="10">
        <v>46069.0</v>
      </c>
      <c r="M14" s="11" t="s">
        <v>33</v>
      </c>
      <c r="N14" s="5"/>
      <c r="O14" s="10"/>
      <c r="P14" s="11"/>
      <c r="Q14" s="13" t="s">
        <v>35</v>
      </c>
      <c r="R14" s="10">
        <v>46101.0</v>
      </c>
      <c r="S14" s="11" t="s">
        <v>33</v>
      </c>
      <c r="T14" s="5"/>
      <c r="U14" s="10"/>
      <c r="V14" s="11"/>
      <c r="W14" s="5" t="s">
        <v>40</v>
      </c>
      <c r="X14" s="10"/>
      <c r="Y14" s="11" t="s">
        <v>33</v>
      </c>
      <c r="Z14" s="15" t="s">
        <v>78</v>
      </c>
      <c r="AA14" s="5" t="s">
        <v>36</v>
      </c>
      <c r="AB14" s="10"/>
      <c r="AC14" s="11" t="s">
        <v>42</v>
      </c>
    </row>
    <row r="15" ht="22.5" hidden="1" customHeight="1">
      <c r="A15" s="5">
        <v>1.0</v>
      </c>
      <c r="B15" s="5">
        <v>1.0</v>
      </c>
      <c r="C15" s="5" t="s">
        <v>79</v>
      </c>
      <c r="D15" s="6" t="s">
        <v>71</v>
      </c>
      <c r="E15" s="7" t="str">
        <f>IFERROR(__xludf.DUMMYFUNCTION("IF(AND(F15 &gt; 0.3, F15 &lt; 0.5), SPARKLINE(F15,{""charttype"",""bar"";""color1"",""Gold"";""max"",1}),
IF(F15 = 1, SPARKLINE(F15,{""charttype"",""bar"";""color1"",""Lime"";""max"",1}),
IF(F15 &gt;= 0.5, SPARKLINE(F15,{""charttype"",""bar"";""color1"",""GreenYel"&amp;"low"";""max"",1}),
SPARKLINE(F15,{""charttype"",""bar"";""color1"",""DarkOrange"";""max"",1}))))"),"")</f>
        <v/>
      </c>
      <c r="F15" s="8">
        <f t="shared" si="1"/>
        <v>0.6</v>
      </c>
      <c r="G15" s="15" t="s">
        <v>80</v>
      </c>
      <c r="H15" s="9" t="s">
        <v>57</v>
      </c>
      <c r="I15" s="10">
        <v>46073.0</v>
      </c>
      <c r="J15" s="11" t="s">
        <v>33</v>
      </c>
      <c r="K15" s="5" t="s">
        <v>34</v>
      </c>
      <c r="L15" s="10">
        <v>46069.0</v>
      </c>
      <c r="M15" s="11" t="s">
        <v>33</v>
      </c>
      <c r="N15" s="5"/>
      <c r="O15" s="10"/>
      <c r="P15" s="22"/>
      <c r="Q15" s="13" t="s">
        <v>35</v>
      </c>
      <c r="R15" s="10">
        <v>46101.0</v>
      </c>
      <c r="S15" s="11" t="s">
        <v>33</v>
      </c>
      <c r="T15" s="5"/>
      <c r="U15" s="10"/>
      <c r="V15" s="11"/>
      <c r="W15" s="5" t="s">
        <v>40</v>
      </c>
      <c r="X15" s="10"/>
      <c r="Y15" s="11"/>
      <c r="Z15" s="14"/>
      <c r="AA15" s="5" t="s">
        <v>36</v>
      </c>
      <c r="AB15" s="10"/>
      <c r="AC15" s="11"/>
    </row>
    <row r="16" ht="22.5" hidden="1" customHeight="1">
      <c r="A16" s="5">
        <v>1.0</v>
      </c>
      <c r="B16" s="5">
        <v>1.0</v>
      </c>
      <c r="C16" s="5" t="s">
        <v>81</v>
      </c>
      <c r="D16" s="17" t="s">
        <v>59</v>
      </c>
      <c r="E16" s="7" t="str">
        <f>IFERROR(__xludf.DUMMYFUNCTION("IF(AND(F16 &gt; 0.3, F16 &lt; 0.5), SPARKLINE(F16,{""charttype"",""bar"";""color1"",""Gold"";""max"",1}),
IF(F16 = 1, SPARKLINE(F16,{""charttype"",""bar"";""color1"",""Lime"";""max"",1}),
IF(F16 &gt;= 0.5, SPARKLINE(F16,{""charttype"",""bar"";""color1"",""GreenYel"&amp;"low"";""max"",1}),
SPARKLINE(F16,{""charttype"",""bar"";""color1"",""DarkOrange"";""max"",1}))))"),"")</f>
        <v/>
      </c>
      <c r="F16" s="8">
        <f t="shared" si="1"/>
        <v>0.6</v>
      </c>
      <c r="G16" s="15" t="s">
        <v>82</v>
      </c>
      <c r="H16" s="9" t="s">
        <v>57</v>
      </c>
      <c r="I16" s="10">
        <v>46073.0</v>
      </c>
      <c r="J16" s="11" t="s">
        <v>33</v>
      </c>
      <c r="K16" s="5" t="s">
        <v>34</v>
      </c>
      <c r="L16" s="10">
        <v>46069.0</v>
      </c>
      <c r="M16" s="11" t="s">
        <v>33</v>
      </c>
      <c r="N16" s="5"/>
      <c r="O16" s="10"/>
      <c r="P16" s="11"/>
      <c r="Q16" s="13" t="s">
        <v>35</v>
      </c>
      <c r="R16" s="10">
        <v>46101.0</v>
      </c>
      <c r="S16" s="11" t="s">
        <v>33</v>
      </c>
      <c r="T16" s="5"/>
      <c r="U16" s="10"/>
      <c r="V16" s="11"/>
      <c r="W16" s="5" t="s">
        <v>40</v>
      </c>
      <c r="X16" s="10"/>
      <c r="Y16" s="11"/>
      <c r="Z16" s="14"/>
      <c r="AA16" s="5" t="s">
        <v>36</v>
      </c>
      <c r="AB16" s="10"/>
      <c r="AC16" s="11"/>
    </row>
    <row r="17" ht="22.5" hidden="1" customHeight="1">
      <c r="A17" s="5">
        <v>1.0</v>
      </c>
      <c r="B17" s="5">
        <v>1.0</v>
      </c>
      <c r="C17" s="5" t="s">
        <v>83</v>
      </c>
      <c r="D17" s="17" t="s">
        <v>44</v>
      </c>
      <c r="E17" s="7" t="str">
        <f>IFERROR(__xludf.DUMMYFUNCTION("IF(AND(F17 &gt; 0.3, F17 &lt; 0.5), SPARKLINE(F17,{""charttype"",""bar"";""color1"",""Gold"";""max"",1}),
IF(F17 = 1, SPARKLINE(F17,{""charttype"",""bar"";""color1"",""Lime"";""max"",1}),
IF(F17 &gt;= 0.5, SPARKLINE(F17,{""charttype"",""bar"";""color1"",""GreenYel"&amp;"low"";""max"",1}),
SPARKLINE(F17,{""charttype"",""bar"";""color1"",""DarkOrange"";""max"",1}))))"),"")</f>
        <v/>
      </c>
      <c r="F17" s="8">
        <f t="shared" si="1"/>
        <v>0.8</v>
      </c>
      <c r="G17" s="15" t="s">
        <v>84</v>
      </c>
      <c r="H17" s="9" t="s">
        <v>57</v>
      </c>
      <c r="I17" s="10">
        <v>46073.0</v>
      </c>
      <c r="J17" s="11" t="s">
        <v>33</v>
      </c>
      <c r="K17" s="5" t="s">
        <v>34</v>
      </c>
      <c r="L17" s="10">
        <v>46069.0</v>
      </c>
      <c r="M17" s="11" t="s">
        <v>33</v>
      </c>
      <c r="N17" s="5"/>
      <c r="O17" s="10"/>
      <c r="P17" s="11"/>
      <c r="Q17" s="13" t="s">
        <v>35</v>
      </c>
      <c r="R17" s="10">
        <v>46101.0</v>
      </c>
      <c r="S17" s="11" t="s">
        <v>33</v>
      </c>
      <c r="T17" s="5"/>
      <c r="U17" s="10"/>
      <c r="V17" s="11"/>
      <c r="W17" s="5" t="s">
        <v>40</v>
      </c>
      <c r="X17" s="10"/>
      <c r="Y17" s="11" t="s">
        <v>33</v>
      </c>
      <c r="Z17" s="15" t="s">
        <v>85</v>
      </c>
      <c r="AA17" s="5" t="s">
        <v>36</v>
      </c>
      <c r="AB17" s="10"/>
      <c r="AC17" s="11"/>
    </row>
  </sheetData>
  <dataValidations>
    <dataValidation type="list" allowBlank="1" sqref="P2:P17 S2:S17 Y2:Y17">
      <formula1>"Concluído,Em Andamento,Pendente,Precisa de Alteração"</formula1>
    </dataValidation>
    <dataValidation type="list" allowBlank="1" sqref="J2:J17">
      <formula1>"Concluído,Em Andamento,Pendente,Precisa de Alteração,Não há"</formula1>
    </dataValidation>
    <dataValidation type="custom" allowBlank="1" showDropDown="1" sqref="I2:I17 L2:L17 O2:O17 R2:R17 U2:U17 X2:X17 AB2:AB17">
      <formula1>OR(NOT(ISERROR(DATEVALUE(I2))), AND(ISNUMBER(I2), LEFT(CELL("format", I2))="D"))</formula1>
    </dataValidation>
    <dataValidation type="list" allowBlank="1" sqref="V2:V17">
      <formula1>"Concluído,Em Andamento,Pendente,Precisa de Alteração,Não Há"</formula1>
    </dataValidation>
    <dataValidation type="list" allowBlank="1" sqref="AC2:AC17">
      <formula1>"Concluído,Em Andamento,Pendente,Aguardando Correção"</formula1>
    </dataValidation>
    <dataValidation type="custom" allowBlank="1" showDropDown="1" sqref="F2:F17">
      <formula1>AND(ISNUMBER(F2),(NOT(OR(NOT(ISERROR(DATEVALUE(F2))), AND(ISNUMBER(F2), LEFT(CELL("format", F2))="D")))))</formula1>
    </dataValidation>
    <dataValidation type="list" allowBlank="1" sqref="M2:M17">
      <formula1>"Concluído,Em Andamento,Pendente,Aguardando Correção,Não há"</formula1>
    </dataValidation>
  </dataValidations>
  <hyperlinks>
    <hyperlink r:id="rId1" ref="G2"/>
    <hyperlink r:id="rId2" ref="H2"/>
    <hyperlink r:id="rId3" ref="G3"/>
    <hyperlink r:id="rId4" ref="H3"/>
    <hyperlink r:id="rId5" ref="Z3"/>
    <hyperlink r:id="rId6" ref="G4"/>
    <hyperlink r:id="rId7" ref="H4"/>
    <hyperlink r:id="rId8" ref="Z4"/>
    <hyperlink r:id="rId9" ref="G5"/>
    <hyperlink r:id="rId10" ref="H5"/>
    <hyperlink r:id="rId11" ref="Z5"/>
    <hyperlink r:id="rId12" ref="G6"/>
    <hyperlink r:id="rId13" ref="H6"/>
    <hyperlink r:id="rId14" ref="Z6"/>
    <hyperlink r:id="rId15" ref="G7"/>
    <hyperlink r:id="rId16" ref="H7"/>
    <hyperlink r:id="rId17" ref="G8"/>
    <hyperlink r:id="rId18" ref="H8"/>
    <hyperlink r:id="rId19" ref="G9"/>
    <hyperlink r:id="rId20" ref="H9"/>
    <hyperlink r:id="rId21" ref="G10"/>
    <hyperlink r:id="rId22" ref="H10"/>
    <hyperlink r:id="rId23" ref="Z10"/>
    <hyperlink r:id="rId24" ref="G11"/>
    <hyperlink r:id="rId25" ref="H11"/>
    <hyperlink r:id="rId26" ref="G12"/>
    <hyperlink r:id="rId27" ref="H12"/>
    <hyperlink r:id="rId28" ref="G13"/>
    <hyperlink r:id="rId29" ref="H13"/>
    <hyperlink r:id="rId30" ref="G14"/>
    <hyperlink r:id="rId31" ref="H14"/>
    <hyperlink r:id="rId32" ref="Z14"/>
    <hyperlink r:id="rId33" ref="G15"/>
    <hyperlink r:id="rId34" ref="H15"/>
    <hyperlink r:id="rId35" ref="G16"/>
    <hyperlink r:id="rId36" ref="H16"/>
    <hyperlink r:id="rId37" ref="G17"/>
    <hyperlink r:id="rId38" ref="H17"/>
    <hyperlink r:id="rId39" ref="Z17"/>
  </hyperlinks>
  <drawing r:id="rId40"/>
  <tableParts count="1">
    <tablePart r:id="rId4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23.0"/>
    <col customWidth="1" min="2" max="2" width="10.63"/>
    <col customWidth="1" min="3" max="3" width="19.13"/>
    <col customWidth="1" min="4" max="4" width="15.13"/>
    <col customWidth="1" min="5" max="5" width="22.13"/>
    <col customWidth="1" min="6" max="6" width="6.75"/>
    <col customWidth="1" min="7" max="7" width="31.38"/>
    <col customWidth="1" min="8" max="8" width="17.75"/>
    <col customWidth="1" min="9" max="9" width="20.13"/>
    <col customWidth="1" min="10" max="10" width="21.75"/>
    <col customWidth="1" min="11" max="11" width="16.25"/>
    <col customWidth="1" min="12" max="12" width="20.13"/>
    <col customWidth="1" min="13" max="13" width="21.75"/>
    <col customWidth="1" min="14" max="14" width="16.63"/>
    <col customWidth="1" min="15" max="15" width="20.13"/>
    <col customWidth="1" min="16" max="17" width="21.75"/>
    <col customWidth="1" min="18" max="18" width="20.13"/>
    <col customWidth="1" min="19" max="19" width="21.75"/>
    <col customWidth="1" min="20" max="20" width="16.25"/>
    <col customWidth="1" min="21" max="21" width="20.13"/>
    <col customWidth="1" min="22" max="22" width="21.75"/>
    <col customWidth="1" min="23" max="23" width="16.25"/>
    <col customWidth="1" min="24" max="24" width="20.13"/>
    <col customWidth="1" min="25" max="25" width="21.75"/>
    <col customWidth="1" min="26" max="26" width="30.13"/>
    <col customWidth="1" min="27" max="27" width="16.25"/>
    <col customWidth="1" min="28" max="28" width="20.13"/>
    <col customWidth="1" min="29" max="29" width="21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5">
        <v>2.0</v>
      </c>
      <c r="B2" s="5">
        <v>1.0</v>
      </c>
      <c r="C2" s="5" t="s">
        <v>86</v>
      </c>
      <c r="D2" s="6" t="s">
        <v>30</v>
      </c>
      <c r="E2" s="7" t="str">
        <f>IFERROR(__xludf.DUMMYFUNCTION("IF(AND(F2 &gt; 0.3, F2 &lt; 0.5), SPARKLINE(F2,{""charttype"",""bar"";""color1"",""Gold"";""max"",1}),
IF(F2 = 1, SPARKLINE(F2,{""charttype"",""bar"";""color1"",""Lime"";""max"",1}),
IF(F2 &gt;= 0.5, SPARKLINE(F2,{""charttype"",""bar"";""color1"",""GreenYellow"";"&amp;"""max"",1}),
SPARKLINE(F2,{""charttype"",""bar"";""color1"",""DarkOrange"";""max"",1}))))"),"")</f>
        <v/>
      </c>
      <c r="F2" s="8">
        <f t="shared" ref="F2:F16" si="1">IF(OR(D2="ROTEIRO DE VÍDEO", D2="VÍDEO"), (IF(J2="Concluído", 1, 0) + IF(M2="Concluído", 1, 0) + IF(P2="Concluído", 1, 0) + IF(S2="Concluído", 1, 0) + IF(Y2="Concluído", 1, 0) + IF(AC2="Concluído", 1, 0)) / 6,
IF(OR(D2="SLIDE", D2="FÓRUM", D2="PLANO DE AULA", D2="QUIZ", D2="TAREFA", D2="EBOOK", D2="PDF(AVULSO)"), (IF(J2="Concluído", 1, 0) + IF(M2="Concluído", 1, 0) + IF(S2="Concluído", 1, 0)  + IF(Y2="Concluído", 1, 0) + IF(AC2="Concluído", 1, 0)) / 5,0))</f>
        <v>0.3333333333</v>
      </c>
      <c r="G2" s="9" t="s">
        <v>87</v>
      </c>
      <c r="H2" s="23" t="s">
        <v>57</v>
      </c>
      <c r="I2" s="10">
        <v>46080.0</v>
      </c>
      <c r="J2" s="11" t="s">
        <v>33</v>
      </c>
      <c r="K2" s="5" t="s">
        <v>34</v>
      </c>
      <c r="L2" s="10">
        <v>46076.0</v>
      </c>
      <c r="M2" s="11" t="s">
        <v>33</v>
      </c>
      <c r="N2" s="5"/>
      <c r="O2" s="10"/>
      <c r="P2" s="24"/>
      <c r="Q2" s="13" t="s">
        <v>88</v>
      </c>
      <c r="R2" s="10">
        <v>46101.0</v>
      </c>
      <c r="S2" s="12" t="s">
        <v>69</v>
      </c>
      <c r="T2" s="5"/>
      <c r="U2" s="10"/>
      <c r="V2" s="24"/>
      <c r="W2" s="5"/>
      <c r="X2" s="10"/>
      <c r="Y2" s="24"/>
      <c r="Z2" s="14"/>
      <c r="AA2" s="5" t="s">
        <v>36</v>
      </c>
      <c r="AB2" s="10"/>
      <c r="AC2" s="22"/>
    </row>
    <row r="3" ht="22.5" customHeight="1">
      <c r="A3" s="5">
        <v>2.0</v>
      </c>
      <c r="B3" s="5">
        <v>1.0</v>
      </c>
      <c r="C3" s="5" t="s">
        <v>89</v>
      </c>
      <c r="D3" s="6" t="s">
        <v>38</v>
      </c>
      <c r="E3" s="7" t="str">
        <f>IFERROR(__xludf.DUMMYFUNCTION("IF(AND(F3 &gt; 0.3, F3 &lt; 0.5), SPARKLINE(F3,{""charttype"",""bar"";""color1"",""Gold"";""max"",1}),
IF(F3 = 1, SPARKLINE(F3,{""charttype"",""bar"";""color1"",""Lime"";""max"",1}),
IF(F3 &gt;= 0.5, SPARKLINE(F3,{""charttype"",""bar"";""color1"",""GreenYellow"";"&amp;"""max"",1}),
SPARKLINE(F3,{""charttype"",""bar"";""color1"",""DarkOrange"";""max"",1}))))"),"")</f>
        <v/>
      </c>
      <c r="F3" s="8">
        <f t="shared" si="1"/>
        <v>0.4</v>
      </c>
      <c r="G3" s="15" t="s">
        <v>90</v>
      </c>
      <c r="H3" s="23" t="s">
        <v>57</v>
      </c>
      <c r="I3" s="10">
        <v>46080.0</v>
      </c>
      <c r="J3" s="11" t="s">
        <v>33</v>
      </c>
      <c r="K3" s="5" t="s">
        <v>34</v>
      </c>
      <c r="L3" s="10">
        <v>46076.0</v>
      </c>
      <c r="M3" s="11" t="s">
        <v>33</v>
      </c>
      <c r="N3" s="5"/>
      <c r="O3" s="10"/>
      <c r="P3" s="22"/>
      <c r="Q3" s="13" t="s">
        <v>88</v>
      </c>
      <c r="R3" s="10">
        <v>46101.0</v>
      </c>
      <c r="S3" s="11" t="s">
        <v>69</v>
      </c>
      <c r="T3" s="5"/>
      <c r="U3" s="10"/>
      <c r="V3" s="22"/>
      <c r="W3" s="5"/>
      <c r="X3" s="10"/>
      <c r="Y3" s="11" t="s">
        <v>69</v>
      </c>
      <c r="Z3" s="15" t="s">
        <v>91</v>
      </c>
      <c r="AA3" s="5" t="s">
        <v>36</v>
      </c>
      <c r="AB3" s="10"/>
      <c r="AC3" s="22"/>
    </row>
    <row r="4" ht="22.5" customHeight="1">
      <c r="A4" s="5">
        <v>2.0</v>
      </c>
      <c r="B4" s="5">
        <v>1.0</v>
      </c>
      <c r="C4" s="5" t="s">
        <v>92</v>
      </c>
      <c r="D4" s="6" t="s">
        <v>55</v>
      </c>
      <c r="E4" s="7" t="str">
        <f>IFERROR(__xludf.DUMMYFUNCTION("IF(AND(F4 &gt; 0.3, F4 &lt; 0.5), SPARKLINE(F4,{""charttype"",""bar"";""color1"",""Gold"";""max"",1}),
IF(F4 = 1, SPARKLINE(F4,{""charttype"",""bar"";""color1"",""Lime"";""max"",1}),
IF(F4 &gt;= 0.5, SPARKLINE(F4,{""charttype"",""bar"";""color1"",""GreenYellow"";"&amp;"""max"",1}),
SPARKLINE(F4,{""charttype"",""bar"";""color1"",""DarkOrange"";""max"",1}))))"),"")</f>
        <v/>
      </c>
      <c r="F4" s="8">
        <f t="shared" si="1"/>
        <v>0.4</v>
      </c>
      <c r="G4" s="16" t="s">
        <v>93</v>
      </c>
      <c r="H4" s="23" t="s">
        <v>57</v>
      </c>
      <c r="I4" s="10">
        <v>46080.0</v>
      </c>
      <c r="J4" s="11" t="s">
        <v>33</v>
      </c>
      <c r="K4" s="5" t="s">
        <v>34</v>
      </c>
      <c r="L4" s="10">
        <v>46076.0</v>
      </c>
      <c r="M4" s="11" t="s">
        <v>33</v>
      </c>
      <c r="N4" s="5"/>
      <c r="O4" s="10"/>
      <c r="P4" s="22"/>
      <c r="Q4" s="13" t="s">
        <v>88</v>
      </c>
      <c r="R4" s="10">
        <v>46101.0</v>
      </c>
      <c r="S4" s="11" t="s">
        <v>69</v>
      </c>
      <c r="T4" s="5"/>
      <c r="U4" s="10"/>
      <c r="V4" s="22"/>
      <c r="W4" s="5"/>
      <c r="X4" s="10"/>
      <c r="Y4" s="22"/>
      <c r="Z4" s="14"/>
      <c r="AA4" s="5" t="s">
        <v>36</v>
      </c>
      <c r="AB4" s="10"/>
      <c r="AC4" s="22"/>
    </row>
    <row r="5" ht="22.5" customHeight="1">
      <c r="A5" s="5">
        <v>2.0</v>
      </c>
      <c r="B5" s="5">
        <v>1.0</v>
      </c>
      <c r="C5" s="5" t="s">
        <v>94</v>
      </c>
      <c r="D5" s="17" t="s">
        <v>48</v>
      </c>
      <c r="E5" s="7" t="str">
        <f>IFERROR(__xludf.DUMMYFUNCTION("IF(AND(F5 &gt; 0.3, F5 &lt; 0.5), SPARKLINE(F5,{""charttype"",""bar"";""color1"",""Gold"";""max"",1}),
IF(F5 = 1, SPARKLINE(F5,{""charttype"",""bar"";""color1"",""Lime"";""max"",1}),
IF(F5 &gt;= 0.5, SPARKLINE(F5,{""charttype"",""bar"";""color1"",""GreenYellow"";"&amp;"""max"",1}),
SPARKLINE(F5,{""charttype"",""bar"";""color1"",""DarkOrange"";""max"",1}))))"),"")</f>
        <v/>
      </c>
      <c r="F5" s="8">
        <f t="shared" si="1"/>
        <v>0.6</v>
      </c>
      <c r="G5" s="15" t="s">
        <v>95</v>
      </c>
      <c r="H5" s="23" t="s">
        <v>32</v>
      </c>
      <c r="I5" s="10">
        <v>46080.0</v>
      </c>
      <c r="J5" s="11" t="s">
        <v>33</v>
      </c>
      <c r="K5" s="5" t="s">
        <v>34</v>
      </c>
      <c r="L5" s="10">
        <v>46076.0</v>
      </c>
      <c r="M5" s="11" t="s">
        <v>33</v>
      </c>
      <c r="N5" s="5"/>
      <c r="O5" s="10"/>
      <c r="P5" s="22"/>
      <c r="Q5" s="13" t="s">
        <v>88</v>
      </c>
      <c r="R5" s="10">
        <v>46101.0</v>
      </c>
      <c r="S5" s="11" t="s">
        <v>33</v>
      </c>
      <c r="T5" s="5"/>
      <c r="U5" s="10"/>
      <c r="V5" s="22"/>
      <c r="W5" s="5"/>
      <c r="X5" s="10"/>
      <c r="Y5" s="22"/>
      <c r="Z5" s="14"/>
      <c r="AA5" s="5" t="s">
        <v>36</v>
      </c>
      <c r="AB5" s="10"/>
      <c r="AC5" s="22"/>
    </row>
    <row r="6" ht="22.5" customHeight="1">
      <c r="A6" s="5">
        <v>2.0</v>
      </c>
      <c r="B6" s="5">
        <v>1.0</v>
      </c>
      <c r="C6" s="5" t="s">
        <v>89</v>
      </c>
      <c r="D6" s="17" t="s">
        <v>38</v>
      </c>
      <c r="E6" s="7" t="str">
        <f>IFERROR(__xludf.DUMMYFUNCTION("IF(AND(F6 &gt; 0.3, F6 &lt; 0.5), SPARKLINE(F6,{""charttype"",""bar"";""color1"",""Gold"";""max"",1}),
IF(F6 = 1, SPARKLINE(F6,{""charttype"",""bar"";""color1"",""Lime"";""max"",1}),
IF(F6 &gt;= 0.5, SPARKLINE(F6,{""charttype"",""bar"";""color1"",""GreenYellow"";"&amp;"""max"",1}),
SPARKLINE(F6,{""charttype"",""bar"";""color1"",""DarkOrange"";""max"",1}))))"),"")</f>
        <v/>
      </c>
      <c r="F6" s="8">
        <f t="shared" si="1"/>
        <v>0.6</v>
      </c>
      <c r="G6" s="15" t="s">
        <v>96</v>
      </c>
      <c r="H6" s="23" t="s">
        <v>32</v>
      </c>
      <c r="I6" s="10">
        <v>46080.0</v>
      </c>
      <c r="J6" s="11" t="s">
        <v>33</v>
      </c>
      <c r="K6" s="5" t="s">
        <v>34</v>
      </c>
      <c r="L6" s="10">
        <v>46076.0</v>
      </c>
      <c r="M6" s="11" t="s">
        <v>33</v>
      </c>
      <c r="N6" s="5"/>
      <c r="O6" s="10"/>
      <c r="P6" s="22"/>
      <c r="Q6" s="13" t="s">
        <v>88</v>
      </c>
      <c r="R6" s="10">
        <v>46101.0</v>
      </c>
      <c r="S6" s="11" t="s">
        <v>69</v>
      </c>
      <c r="T6" s="5"/>
      <c r="U6" s="10"/>
      <c r="V6" s="22"/>
      <c r="W6" s="5"/>
      <c r="X6" s="10"/>
      <c r="Y6" s="11" t="s">
        <v>33</v>
      </c>
      <c r="Z6" s="18" t="s">
        <v>97</v>
      </c>
      <c r="AA6" s="5" t="s">
        <v>36</v>
      </c>
      <c r="AB6" s="10"/>
      <c r="AC6" s="22"/>
    </row>
    <row r="7" ht="22.5" customHeight="1">
      <c r="A7" s="5">
        <v>2.0</v>
      </c>
      <c r="B7" s="5">
        <v>1.0</v>
      </c>
      <c r="C7" s="5" t="s">
        <v>98</v>
      </c>
      <c r="D7" s="17" t="s">
        <v>71</v>
      </c>
      <c r="E7" s="7" t="str">
        <f>IFERROR(__xludf.DUMMYFUNCTION("IF(AND(F7 &gt; 0.3, F7 &lt; 0.5), SPARKLINE(F7,{""charttype"",""bar"";""color1"",""Gold"";""max"",1}),
IF(F7 = 1, SPARKLINE(F7,{""charttype"",""bar"";""color1"",""Lime"";""max"",1}),
IF(F7 &gt;= 0.5, SPARKLINE(F7,{""charttype"",""bar"";""color1"",""GreenYellow"";"&amp;"""max"",1}),
SPARKLINE(F7,{""charttype"",""bar"";""color1"",""DarkOrange"";""max"",1}))))"),"")</f>
        <v/>
      </c>
      <c r="F7" s="8">
        <f t="shared" si="1"/>
        <v>0.6</v>
      </c>
      <c r="G7" s="15" t="s">
        <v>99</v>
      </c>
      <c r="H7" s="23" t="s">
        <v>32</v>
      </c>
      <c r="I7" s="10">
        <v>46080.0</v>
      </c>
      <c r="J7" s="11" t="s">
        <v>33</v>
      </c>
      <c r="K7" s="5" t="s">
        <v>34</v>
      </c>
      <c r="L7" s="10">
        <v>46076.0</v>
      </c>
      <c r="M7" s="11" t="s">
        <v>33</v>
      </c>
      <c r="N7" s="5"/>
      <c r="O7" s="10"/>
      <c r="P7" s="22"/>
      <c r="Q7" s="13" t="s">
        <v>88</v>
      </c>
      <c r="R7" s="10">
        <v>46101.0</v>
      </c>
      <c r="S7" s="11" t="s">
        <v>33</v>
      </c>
      <c r="T7" s="5"/>
      <c r="U7" s="10"/>
      <c r="V7" s="22"/>
      <c r="W7" s="5"/>
      <c r="X7" s="10"/>
      <c r="Y7" s="22"/>
      <c r="Z7" s="14"/>
      <c r="AA7" s="5" t="s">
        <v>36</v>
      </c>
      <c r="AB7" s="10"/>
      <c r="AC7" s="22"/>
    </row>
    <row r="8" ht="22.5" customHeight="1">
      <c r="A8" s="5">
        <v>2.0</v>
      </c>
      <c r="B8" s="5">
        <v>1.0</v>
      </c>
      <c r="C8" s="5" t="s">
        <v>100</v>
      </c>
      <c r="D8" s="17" t="s">
        <v>48</v>
      </c>
      <c r="E8" s="7" t="str">
        <f>IFERROR(__xludf.DUMMYFUNCTION("IF(AND(F8 &gt; 0.3, F8 &lt; 0.5), SPARKLINE(F8,{""charttype"",""bar"";""color1"",""Gold"";""max"",1}),
IF(F8 = 1, SPARKLINE(F8,{""charttype"",""bar"";""color1"",""Lime"";""max"",1}),
IF(F8 &gt;= 0.5, SPARKLINE(F8,{""charttype"",""bar"";""color1"",""GreenYellow"";"&amp;"""max"",1}),
SPARKLINE(F8,{""charttype"",""bar"";""color1"",""DarkOrange"";""max"",1}))))"),"")</f>
        <v/>
      </c>
      <c r="F8" s="8">
        <f t="shared" si="1"/>
        <v>0.6</v>
      </c>
      <c r="G8" s="15" t="s">
        <v>101</v>
      </c>
      <c r="H8" s="23" t="s">
        <v>57</v>
      </c>
      <c r="I8" s="10">
        <v>46080.0</v>
      </c>
      <c r="J8" s="11" t="s">
        <v>33</v>
      </c>
      <c r="K8" s="5" t="s">
        <v>34</v>
      </c>
      <c r="L8" s="10">
        <v>46076.0</v>
      </c>
      <c r="M8" s="11" t="s">
        <v>33</v>
      </c>
      <c r="N8" s="5"/>
      <c r="O8" s="10"/>
      <c r="P8" s="22"/>
      <c r="Q8" s="13" t="s">
        <v>88</v>
      </c>
      <c r="R8" s="10">
        <v>46101.0</v>
      </c>
      <c r="S8" s="11" t="s">
        <v>33</v>
      </c>
      <c r="T8" s="5"/>
      <c r="U8" s="10"/>
      <c r="V8" s="22"/>
      <c r="W8" s="5"/>
      <c r="X8" s="10"/>
      <c r="Y8" s="22"/>
      <c r="Z8" s="19"/>
      <c r="AA8" s="5" t="s">
        <v>36</v>
      </c>
      <c r="AB8" s="10"/>
      <c r="AC8" s="22"/>
    </row>
    <row r="9" ht="22.5" customHeight="1">
      <c r="A9" s="5">
        <v>2.0</v>
      </c>
      <c r="B9" s="5">
        <v>1.0</v>
      </c>
      <c r="C9" s="5" t="s">
        <v>102</v>
      </c>
      <c r="D9" s="17" t="s">
        <v>38</v>
      </c>
      <c r="E9" s="7" t="str">
        <f>IFERROR(__xludf.DUMMYFUNCTION("IF(AND(F9 &gt; 0.3, F9 &lt; 0.5), SPARKLINE(F9,{""charttype"",""bar"";""color1"",""Gold"";""max"",1}),
IF(F9 = 1, SPARKLINE(F9,{""charttype"",""bar"";""color1"",""Lime"";""max"",1}),
IF(F9 &gt;= 0.5, SPARKLINE(F9,{""charttype"",""bar"";""color1"",""GreenYellow"";"&amp;"""max"",1}),
SPARKLINE(F9,{""charttype"",""bar"";""color1"",""DarkOrange"";""max"",1}))))"),"")</f>
        <v/>
      </c>
      <c r="F9" s="8">
        <f t="shared" si="1"/>
        <v>0.6</v>
      </c>
      <c r="G9" s="20" t="s">
        <v>103</v>
      </c>
      <c r="H9" s="23" t="s">
        <v>57</v>
      </c>
      <c r="I9" s="10">
        <v>46080.0</v>
      </c>
      <c r="J9" s="11" t="s">
        <v>33</v>
      </c>
      <c r="K9" s="5" t="s">
        <v>34</v>
      </c>
      <c r="L9" s="10">
        <v>46076.0</v>
      </c>
      <c r="M9" s="11" t="s">
        <v>33</v>
      </c>
      <c r="N9" s="5"/>
      <c r="O9" s="10"/>
      <c r="P9" s="22"/>
      <c r="Q9" s="13" t="s">
        <v>88</v>
      </c>
      <c r="R9" s="10">
        <v>46101.0</v>
      </c>
      <c r="S9" s="11" t="s">
        <v>69</v>
      </c>
      <c r="T9" s="5"/>
      <c r="U9" s="10"/>
      <c r="V9" s="22"/>
      <c r="W9" s="5"/>
      <c r="X9" s="10"/>
      <c r="Y9" s="11" t="s">
        <v>33</v>
      </c>
      <c r="Z9" s="20" t="s">
        <v>104</v>
      </c>
      <c r="AA9" s="5" t="s">
        <v>36</v>
      </c>
      <c r="AB9" s="10"/>
      <c r="AC9" s="22"/>
    </row>
    <row r="10" ht="22.5" customHeight="1">
      <c r="A10" s="5">
        <v>2.0</v>
      </c>
      <c r="B10" s="5">
        <v>1.0</v>
      </c>
      <c r="C10" s="5" t="s">
        <v>105</v>
      </c>
      <c r="D10" s="17" t="s">
        <v>71</v>
      </c>
      <c r="E10" s="7" t="str">
        <f>IFERROR(__xludf.DUMMYFUNCTION("IF(AND(F10 &gt; 0.3, F10 &lt; 0.5), SPARKLINE(F10,{""charttype"",""bar"";""color1"",""Gold"";""max"",1}),
IF(F10 = 1, SPARKLINE(F10,{""charttype"",""bar"";""color1"",""Lime"";""max"",1}),
IF(F10 &gt;= 0.5, SPARKLINE(F10,{""charttype"",""bar"";""color1"",""GreenYel"&amp;"low"";""max"",1}),
SPARKLINE(F10,{""charttype"",""bar"";""color1"",""DarkOrange"";""max"",1}))))"),"")</f>
        <v/>
      </c>
      <c r="F10" s="8">
        <f t="shared" si="1"/>
        <v>0.6</v>
      </c>
      <c r="G10" s="16" t="s">
        <v>106</v>
      </c>
      <c r="H10" s="23" t="s">
        <v>57</v>
      </c>
      <c r="I10" s="10">
        <v>46080.0</v>
      </c>
      <c r="J10" s="11" t="s">
        <v>33</v>
      </c>
      <c r="K10" s="5" t="s">
        <v>34</v>
      </c>
      <c r="L10" s="10">
        <v>46076.0</v>
      </c>
      <c r="M10" s="11" t="s">
        <v>33</v>
      </c>
      <c r="N10" s="5"/>
      <c r="O10" s="10"/>
      <c r="P10" s="11"/>
      <c r="Q10" s="13" t="s">
        <v>88</v>
      </c>
      <c r="R10" s="10">
        <v>46101.0</v>
      </c>
      <c r="S10" s="11" t="s">
        <v>33</v>
      </c>
      <c r="T10" s="5"/>
      <c r="U10" s="10"/>
      <c r="V10" s="22"/>
      <c r="W10" s="5"/>
      <c r="X10" s="10"/>
      <c r="Y10" s="22"/>
      <c r="Z10" s="19"/>
      <c r="AA10" s="5" t="s">
        <v>36</v>
      </c>
      <c r="AB10" s="10"/>
      <c r="AC10" s="22"/>
    </row>
    <row r="11" ht="22.5" customHeight="1">
      <c r="A11" s="5">
        <v>2.0</v>
      </c>
      <c r="B11" s="5">
        <v>1.0</v>
      </c>
      <c r="C11" s="5" t="s">
        <v>107</v>
      </c>
      <c r="D11" s="17" t="s">
        <v>59</v>
      </c>
      <c r="E11" s="7" t="str">
        <f>IFERROR(__xludf.DUMMYFUNCTION("IF(AND(F11 &gt; 0.3, F11 &lt; 0.5), SPARKLINE(F11,{""charttype"",""bar"";""color1"",""Gold"";""max"",1}),
IF(F11 = 1, SPARKLINE(F11,{""charttype"",""bar"";""color1"",""Lime"";""max"",1}),
IF(F11 &gt;= 0.5, SPARKLINE(F11,{""charttype"",""bar"";""color1"",""GreenYel"&amp;"low"";""max"",1}),
SPARKLINE(F11,{""charttype"",""bar"";""color1"",""DarkOrange"";""max"",1}))))"),"")</f>
        <v/>
      </c>
      <c r="F11" s="8">
        <f t="shared" si="1"/>
        <v>0.6</v>
      </c>
      <c r="G11" s="16" t="s">
        <v>108</v>
      </c>
      <c r="H11" s="23" t="s">
        <v>57</v>
      </c>
      <c r="I11" s="10">
        <v>46080.0</v>
      </c>
      <c r="J11" s="11" t="s">
        <v>33</v>
      </c>
      <c r="K11" s="5" t="s">
        <v>34</v>
      </c>
      <c r="L11" s="10">
        <v>46076.0</v>
      </c>
      <c r="M11" s="11" t="s">
        <v>33</v>
      </c>
      <c r="N11" s="5"/>
      <c r="O11" s="10"/>
      <c r="P11" s="22"/>
      <c r="Q11" s="13" t="s">
        <v>88</v>
      </c>
      <c r="R11" s="10">
        <v>46101.0</v>
      </c>
      <c r="S11" s="11" t="s">
        <v>33</v>
      </c>
      <c r="T11" s="5"/>
      <c r="U11" s="10"/>
      <c r="V11" s="22"/>
      <c r="W11" s="5"/>
      <c r="X11" s="10"/>
      <c r="Y11" s="22"/>
      <c r="Z11" s="19"/>
      <c r="AA11" s="5" t="s">
        <v>36</v>
      </c>
      <c r="AB11" s="10"/>
      <c r="AC11" s="22"/>
    </row>
    <row r="12" ht="22.5" customHeight="1">
      <c r="A12" s="5">
        <v>2.0</v>
      </c>
      <c r="B12" s="5">
        <v>1.0</v>
      </c>
      <c r="C12" s="5" t="s">
        <v>109</v>
      </c>
      <c r="D12" s="6" t="s">
        <v>48</v>
      </c>
      <c r="E12" s="7" t="str">
        <f>IFERROR(__xludf.DUMMYFUNCTION("IF(AND(F12 &gt; 0.3, F12 &lt; 0.5), SPARKLINE(F12,{""charttype"",""bar"";""color1"",""Gold"";""max"",1}),
IF(F12 = 1, SPARKLINE(F12,{""charttype"",""bar"";""color1"",""Lime"";""max"",1}),
IF(F12 &gt;= 0.5, SPARKLINE(F12,{""charttype"",""bar"";""color1"",""GreenYel"&amp;"low"";""max"",1}),
SPARKLINE(F12,{""charttype"",""bar"";""color1"",""DarkOrange"";""max"",1}))))"),"")</f>
        <v/>
      </c>
      <c r="F12" s="8">
        <f t="shared" si="1"/>
        <v>0.6</v>
      </c>
      <c r="G12" s="18" t="s">
        <v>110</v>
      </c>
      <c r="H12" s="23" t="s">
        <v>32</v>
      </c>
      <c r="I12" s="10">
        <v>46080.0</v>
      </c>
      <c r="J12" s="11" t="s">
        <v>33</v>
      </c>
      <c r="K12" s="5" t="s">
        <v>34</v>
      </c>
      <c r="L12" s="10">
        <v>46076.0</v>
      </c>
      <c r="M12" s="11" t="s">
        <v>33</v>
      </c>
      <c r="N12" s="5"/>
      <c r="O12" s="10"/>
      <c r="P12" s="22"/>
      <c r="Q12" s="13" t="s">
        <v>88</v>
      </c>
      <c r="R12" s="10">
        <v>46101.0</v>
      </c>
      <c r="S12" s="11" t="s">
        <v>33</v>
      </c>
      <c r="T12" s="5"/>
      <c r="U12" s="10"/>
      <c r="V12" s="22"/>
      <c r="W12" s="5"/>
      <c r="X12" s="10"/>
      <c r="Y12" s="22"/>
      <c r="Z12" s="14"/>
      <c r="AA12" s="5" t="s">
        <v>36</v>
      </c>
      <c r="AB12" s="10"/>
      <c r="AC12" s="22"/>
    </row>
    <row r="13" ht="22.5" customHeight="1">
      <c r="A13" s="5">
        <v>2.0</v>
      </c>
      <c r="B13" s="5">
        <v>1.0</v>
      </c>
      <c r="C13" s="5" t="s">
        <v>111</v>
      </c>
      <c r="D13" s="6" t="s">
        <v>38</v>
      </c>
      <c r="E13" s="7" t="str">
        <f>IFERROR(__xludf.DUMMYFUNCTION("IF(AND(F13 &gt; 0.3, F13 &lt; 0.5), SPARKLINE(F13,{""charttype"",""bar"";""color1"",""Gold"";""max"",1}),
IF(F13 = 1, SPARKLINE(F13,{""charttype"",""bar"";""color1"",""Lime"";""max"",1}),
IF(F13 &gt;= 0.5, SPARKLINE(F13,{""charttype"",""bar"";""color1"",""GreenYel"&amp;"low"";""max"",1}),
SPARKLINE(F13,{""charttype"",""bar"";""color1"",""DarkOrange"";""max"",1}))))"),"")</f>
        <v/>
      </c>
      <c r="F13" s="25">
        <f t="shared" si="1"/>
        <v>0.6</v>
      </c>
      <c r="G13" s="15" t="s">
        <v>112</v>
      </c>
      <c r="H13" s="23" t="s">
        <v>32</v>
      </c>
      <c r="I13" s="10">
        <v>46080.0</v>
      </c>
      <c r="J13" s="11" t="s">
        <v>33</v>
      </c>
      <c r="K13" s="5" t="s">
        <v>34</v>
      </c>
      <c r="L13" s="10">
        <v>46076.0</v>
      </c>
      <c r="M13" s="11" t="s">
        <v>33</v>
      </c>
      <c r="N13" s="5"/>
      <c r="O13" s="10"/>
      <c r="P13" s="22"/>
      <c r="Q13" s="13" t="s">
        <v>88</v>
      </c>
      <c r="R13" s="10">
        <v>46101.0</v>
      </c>
      <c r="S13" s="11" t="s">
        <v>69</v>
      </c>
      <c r="T13" s="5"/>
      <c r="U13" s="10"/>
      <c r="V13" s="22"/>
      <c r="W13" s="5"/>
      <c r="X13" s="10"/>
      <c r="Y13" s="11" t="s">
        <v>33</v>
      </c>
      <c r="Z13" s="15" t="s">
        <v>113</v>
      </c>
      <c r="AA13" s="5" t="s">
        <v>36</v>
      </c>
      <c r="AB13" s="10"/>
      <c r="AC13" s="22"/>
    </row>
    <row r="14" ht="22.5" customHeight="1">
      <c r="A14" s="5">
        <v>2.0</v>
      </c>
      <c r="B14" s="5">
        <v>1.0</v>
      </c>
      <c r="C14" s="5" t="s">
        <v>114</v>
      </c>
      <c r="D14" s="6" t="s">
        <v>71</v>
      </c>
      <c r="E14" s="7" t="str">
        <f>IFERROR(__xludf.DUMMYFUNCTION("IF(AND(F14 &gt; 0.3, F14 &lt; 0.5), SPARKLINE(F14,{""charttype"",""bar"";""color1"",""Gold"";""max"",1}),
IF(F14 = 1, SPARKLINE(F14,{""charttype"",""bar"";""color1"",""Lime"";""max"",1}),
IF(F14 &gt;= 0.5, SPARKLINE(F14,{""charttype"",""bar"";""color1"",""GreenYel"&amp;"low"";""max"",1}),
SPARKLINE(F14,{""charttype"",""bar"";""color1"",""DarkOrange"";""max"",1}))))"),"")</f>
        <v/>
      </c>
      <c r="F14" s="8">
        <f t="shared" si="1"/>
        <v>0.6</v>
      </c>
      <c r="G14" s="15" t="s">
        <v>115</v>
      </c>
      <c r="H14" s="23" t="s">
        <v>32</v>
      </c>
      <c r="I14" s="10">
        <v>46080.0</v>
      </c>
      <c r="J14" s="11" t="s">
        <v>33</v>
      </c>
      <c r="K14" s="5" t="s">
        <v>34</v>
      </c>
      <c r="L14" s="10">
        <v>46076.0</v>
      </c>
      <c r="M14" s="11" t="s">
        <v>33</v>
      </c>
      <c r="N14" s="5"/>
      <c r="O14" s="10"/>
      <c r="P14" s="22"/>
      <c r="Q14" s="13" t="s">
        <v>88</v>
      </c>
      <c r="R14" s="10">
        <v>46101.0</v>
      </c>
      <c r="S14" s="11" t="s">
        <v>33</v>
      </c>
      <c r="T14" s="5"/>
      <c r="U14" s="10"/>
      <c r="V14" s="22"/>
      <c r="W14" s="5"/>
      <c r="X14" s="10"/>
      <c r="Y14" s="22"/>
      <c r="Z14" s="14"/>
      <c r="AA14" s="5" t="s">
        <v>36</v>
      </c>
      <c r="AB14" s="10"/>
      <c r="AC14" s="22"/>
    </row>
    <row r="15" ht="22.5" customHeight="1">
      <c r="A15" s="5">
        <v>2.0</v>
      </c>
      <c r="B15" s="5">
        <v>1.0</v>
      </c>
      <c r="C15" s="5" t="s">
        <v>116</v>
      </c>
      <c r="D15" s="6" t="s">
        <v>44</v>
      </c>
      <c r="E15" s="7" t="str">
        <f>IFERROR(__xludf.DUMMYFUNCTION("IF(AND(F15 &gt; 0.3, F15 &lt; 0.5), SPARKLINE(F15,{""charttype"",""bar"";""color1"",""Gold"";""max"",1}),
IF(F15 = 1, SPARKLINE(F15,{""charttype"",""bar"";""color1"",""Lime"";""max"",1}),
IF(F15 &gt;= 0.5, SPARKLINE(F15,{""charttype"",""bar"";""color1"",""GreenYel"&amp;"low"";""max"",1}),
SPARKLINE(F15,{""charttype"",""bar"";""color1"",""DarkOrange"";""max"",1}))))"),"")</f>
        <v/>
      </c>
      <c r="F15" s="8">
        <f t="shared" si="1"/>
        <v>0.6</v>
      </c>
      <c r="G15" s="15" t="s">
        <v>117</v>
      </c>
      <c r="H15" s="23" t="s">
        <v>32</v>
      </c>
      <c r="I15" s="10">
        <v>46080.0</v>
      </c>
      <c r="J15" s="11" t="s">
        <v>33</v>
      </c>
      <c r="K15" s="5" t="s">
        <v>34</v>
      </c>
      <c r="L15" s="10">
        <v>46076.0</v>
      </c>
      <c r="M15" s="11" t="s">
        <v>33</v>
      </c>
      <c r="N15" s="5"/>
      <c r="O15" s="10"/>
      <c r="P15" s="22"/>
      <c r="Q15" s="13" t="s">
        <v>88</v>
      </c>
      <c r="R15" s="10">
        <v>46101.0</v>
      </c>
      <c r="S15" s="11" t="s">
        <v>33</v>
      </c>
      <c r="T15" s="5"/>
      <c r="U15" s="10"/>
      <c r="V15" s="22"/>
      <c r="W15" s="5"/>
      <c r="X15" s="10"/>
      <c r="Y15" s="22"/>
      <c r="Z15" s="14"/>
      <c r="AA15" s="5" t="s">
        <v>36</v>
      </c>
      <c r="AB15" s="10"/>
      <c r="AC15" s="22"/>
    </row>
    <row r="16" ht="22.5" customHeight="1">
      <c r="A16" s="5">
        <v>2.0</v>
      </c>
      <c r="B16" s="5">
        <v>1.0</v>
      </c>
      <c r="C16" s="5" t="s">
        <v>118</v>
      </c>
      <c r="D16" s="17" t="s">
        <v>59</v>
      </c>
      <c r="E16" s="7" t="str">
        <f>IFERROR(__xludf.DUMMYFUNCTION("IF(AND(F16 &gt; 0.3, F16 &lt; 0.5), SPARKLINE(F16,{""charttype"",""bar"";""color1"",""Gold"";""max"",1}),
IF(F16 = 1, SPARKLINE(F16,{""charttype"",""bar"";""color1"",""Lime"";""max"",1}),
IF(F16 &gt;= 0.5, SPARKLINE(F16,{""charttype"",""bar"";""color1"",""GreenYel"&amp;"low"";""max"",1}),
SPARKLINE(F16,{""charttype"",""bar"";""color1"",""DarkOrange"";""max"",1}))))"),"")</f>
        <v/>
      </c>
      <c r="F16" s="8">
        <f t="shared" si="1"/>
        <v>0.6</v>
      </c>
      <c r="G16" s="15" t="s">
        <v>119</v>
      </c>
      <c r="H16" s="23" t="s">
        <v>32</v>
      </c>
      <c r="I16" s="10">
        <v>46080.0</v>
      </c>
      <c r="J16" s="11" t="s">
        <v>33</v>
      </c>
      <c r="K16" s="5" t="s">
        <v>34</v>
      </c>
      <c r="L16" s="10">
        <v>46076.0</v>
      </c>
      <c r="M16" s="11" t="s">
        <v>33</v>
      </c>
      <c r="N16" s="5"/>
      <c r="O16" s="10"/>
      <c r="P16" s="22"/>
      <c r="Q16" s="13" t="s">
        <v>88</v>
      </c>
      <c r="R16" s="10">
        <v>46101.0</v>
      </c>
      <c r="S16" s="11" t="s">
        <v>33</v>
      </c>
      <c r="T16" s="5"/>
      <c r="U16" s="10"/>
      <c r="V16" s="22"/>
      <c r="W16" s="5"/>
      <c r="X16" s="10"/>
      <c r="Y16" s="22"/>
      <c r="Z16" s="14"/>
      <c r="AA16" s="5" t="s">
        <v>36</v>
      </c>
      <c r="AB16" s="10"/>
      <c r="AC16" s="22"/>
    </row>
  </sheetData>
  <dataValidations>
    <dataValidation type="list" allowBlank="1" sqref="P2:P16 S2:S16 Y2:Y16">
      <formula1>"Concluído,Em Andamento,Pendente,Precisa de Alteração"</formula1>
    </dataValidation>
    <dataValidation type="list" allowBlank="1" sqref="J2:J16">
      <formula1>"Concluído,Em Andamento,Pendente,Precisa de Alteração,Não há"</formula1>
    </dataValidation>
    <dataValidation type="custom" allowBlank="1" showDropDown="1" sqref="I2:I16 L2:L16 O2:O16 R2:R16 U2:U16 X2:X16 AB2:AB16">
      <formula1>OR(NOT(ISERROR(DATEVALUE(I2))), AND(ISNUMBER(I2), LEFT(CELL("format", I2))="D"))</formula1>
    </dataValidation>
    <dataValidation type="list" allowBlank="1" sqref="V2:V16">
      <formula1>"Concluído,Em Andamento,Pendente,Precisa de Alteração,Não Há"</formula1>
    </dataValidation>
    <dataValidation type="list" allowBlank="1" sqref="AC2:AC16">
      <formula1>"Concluído,Em Andamento,Pendente,Aguardando Correção"</formula1>
    </dataValidation>
    <dataValidation type="custom" allowBlank="1" showDropDown="1" sqref="F2:F16">
      <formula1>AND(ISNUMBER(F2),(NOT(OR(NOT(ISERROR(DATEVALUE(F2))), AND(ISNUMBER(F2), LEFT(CELL("format", F2))="D")))))</formula1>
    </dataValidation>
    <dataValidation type="list" allowBlank="1" sqref="M2:M16">
      <formula1>"Concluído,Em Andamento,Pendente,Aguardando Correção,Não há"</formula1>
    </dataValidation>
  </dataValidations>
  <hyperlinks>
    <hyperlink r:id="rId1" ref="G2"/>
    <hyperlink r:id="rId2" ref="H2"/>
    <hyperlink r:id="rId3" ref="G3"/>
    <hyperlink r:id="rId4" ref="H3"/>
    <hyperlink r:id="rId5" ref="Z3"/>
    <hyperlink r:id="rId6" ref="G4"/>
    <hyperlink r:id="rId7" ref="H4"/>
    <hyperlink r:id="rId8" ref="G5"/>
    <hyperlink r:id="rId9" ref="H5"/>
    <hyperlink r:id="rId10" ref="G6"/>
    <hyperlink r:id="rId11" ref="H6"/>
    <hyperlink r:id="rId12" ref="Z6"/>
    <hyperlink r:id="rId13" ref="G7"/>
    <hyperlink r:id="rId14" ref="H7"/>
    <hyperlink r:id="rId15" ref="G8"/>
    <hyperlink r:id="rId16" ref="H8"/>
    <hyperlink r:id="rId17" ref="G9"/>
    <hyperlink r:id="rId18" ref="H9"/>
    <hyperlink r:id="rId19" ref="Z9"/>
    <hyperlink r:id="rId20" ref="G10"/>
    <hyperlink r:id="rId21" ref="H10"/>
    <hyperlink r:id="rId22" ref="G11"/>
    <hyperlink r:id="rId23" ref="H11"/>
    <hyperlink r:id="rId24" ref="G12"/>
    <hyperlink r:id="rId25" ref="H12"/>
    <hyperlink r:id="rId26" ref="G13"/>
    <hyperlink r:id="rId27" ref="H13"/>
    <hyperlink r:id="rId28" ref="Z13"/>
    <hyperlink r:id="rId29" ref="G14"/>
    <hyperlink r:id="rId30" ref="H14"/>
    <hyperlink r:id="rId31" ref="G15"/>
    <hyperlink r:id="rId32" ref="H15"/>
    <hyperlink r:id="rId33" ref="G16"/>
    <hyperlink r:id="rId34" ref="H16"/>
  </hyperlinks>
  <drawing r:id="rId35"/>
  <tableParts count="1">
    <tablePart r:id="rId3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23.0"/>
    <col customWidth="1" min="2" max="2" width="10.63"/>
    <col customWidth="1" min="3" max="3" width="19.13"/>
    <col customWidth="1" min="4" max="4" width="15.13"/>
    <col customWidth="1" min="5" max="5" width="22.63"/>
    <col customWidth="1" min="6" max="6" width="6.75"/>
    <col customWidth="1" min="7" max="7" width="33.75"/>
    <col customWidth="1" min="8" max="8" width="17.75"/>
    <col customWidth="1" min="9" max="9" width="20.13"/>
    <col customWidth="1" min="10" max="11" width="21.75"/>
    <col customWidth="1" min="12" max="12" width="24.0"/>
    <col customWidth="1" min="13" max="13" width="16.25"/>
    <col customWidth="1" min="14" max="14" width="20.13"/>
    <col customWidth="1" min="15" max="15" width="21.75"/>
    <col customWidth="1" min="16" max="16" width="16.63"/>
    <col customWidth="1" min="17" max="17" width="20.13"/>
    <col customWidth="1" min="18" max="19" width="21.75"/>
    <col customWidth="1" min="20" max="20" width="20.13"/>
    <col customWidth="1" min="21" max="21" width="21.75"/>
    <col customWidth="1" min="22" max="22" width="16.25"/>
    <col customWidth="1" min="23" max="23" width="20.13"/>
    <col customWidth="1" min="24" max="24" width="21.75"/>
    <col customWidth="1" min="25" max="25" width="16.25"/>
    <col customWidth="1" min="26" max="26" width="20.13"/>
    <col customWidth="1" min="27" max="27" width="21.75"/>
    <col customWidth="1" min="28" max="28" width="30.13"/>
    <col customWidth="1" min="29" max="29" width="16.25"/>
    <col customWidth="1" min="30" max="30" width="20.13"/>
    <col customWidth="1" min="31" max="31" width="21.7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120</v>
      </c>
      <c r="L1" s="1" t="s">
        <v>121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4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4" t="s">
        <v>25</v>
      </c>
      <c r="AC1" s="1" t="s">
        <v>26</v>
      </c>
      <c r="AD1" s="1" t="s">
        <v>27</v>
      </c>
      <c r="AE1" s="1" t="s">
        <v>28</v>
      </c>
    </row>
    <row r="2" ht="22.5" hidden="1" customHeight="1">
      <c r="A2" s="5">
        <v>3.0</v>
      </c>
      <c r="B2" s="5">
        <v>1.0</v>
      </c>
      <c r="C2" s="5" t="s">
        <v>122</v>
      </c>
      <c r="D2" s="6" t="s">
        <v>30</v>
      </c>
      <c r="E2" s="7" t="str">
        <f>IFERROR(__xludf.DUMMYFUNCTION("IF(AND(F2 &gt; 0.3, F2 &lt; 0.5), SPARKLINE(F2,{""charttype"",""bar"";""color1"",""Gold"";""max"",1}),
IF(F2 = 1, SPARKLINE(F2,{""charttype"",""bar"";""color1"",""Lime"";""max"",1}),
IF(F2 &gt;= 0.5, SPARKLINE(F2,{""charttype"",""bar"";""color1"",""GreenYellow"";"&amp;"""max"",1}),
SPARKLINE(F2,{""charttype"",""bar"";""color1"",""DarkOrange"";""max"",1}))))"),"")</f>
        <v/>
      </c>
      <c r="F2" s="8">
        <f t="shared" ref="F2:F27" si="1">IF(OR(D2="ROTEIRO DE VÍDEO", D2="VÍDEO", D2="ANIMAÇÃO"), (IF(J2="Concluído", 1, 0) + IF(O2="Concluído", 1, 0) + IF(R2="Concluído", 1, 0) + IF(AA2="Concluído", 1, 0) + IF(AE2="Concluído", 1, 0)) / 5,
IF(OR(D2="SLIDE", D2="FÓRUM", D2="PLANO DE AULA", D2="QUIZ", D2="TAREFA", D2="EBOOK", D2="PDF(AVULSO)", D2="LINHA DO TEMPO", D2="INFOGRÁFICO"), (IF(J2="Concluído", 1, 0) + IF(O2="Concluído", 1, 0) + IF(AA2="Concluído", 1, 0) + IF(AE2="Concluído", 1, 0)) / 4,0))</f>
        <v>0.4</v>
      </c>
      <c r="G2" s="9" t="s">
        <v>123</v>
      </c>
      <c r="H2" s="23" t="s">
        <v>57</v>
      </c>
      <c r="I2" s="10">
        <v>46098.0</v>
      </c>
      <c r="J2" s="11" t="s">
        <v>33</v>
      </c>
      <c r="K2" s="10">
        <v>46087.0</v>
      </c>
      <c r="L2" s="26" t="s">
        <v>124</v>
      </c>
      <c r="M2" s="5" t="s">
        <v>34</v>
      </c>
      <c r="N2" s="10">
        <v>46083.0</v>
      </c>
      <c r="O2" s="11" t="s">
        <v>33</v>
      </c>
      <c r="P2" s="5"/>
      <c r="Q2" s="10"/>
      <c r="R2" s="12" t="s">
        <v>42</v>
      </c>
      <c r="S2" s="13"/>
      <c r="T2" s="10"/>
      <c r="U2" s="24"/>
      <c r="V2" s="5"/>
      <c r="W2" s="10"/>
      <c r="X2" s="24"/>
      <c r="Y2" s="5"/>
      <c r="Z2" s="10"/>
      <c r="AA2" s="24"/>
      <c r="AB2" s="14"/>
      <c r="AC2" s="5" t="s">
        <v>36</v>
      </c>
      <c r="AD2" s="10"/>
      <c r="AE2" s="22"/>
    </row>
    <row r="3" ht="22.5" hidden="1" customHeight="1">
      <c r="A3" s="5">
        <v>3.0</v>
      </c>
      <c r="B3" s="5">
        <v>1.0</v>
      </c>
      <c r="C3" s="5" t="s">
        <v>125</v>
      </c>
      <c r="D3" s="6" t="s">
        <v>30</v>
      </c>
      <c r="E3" s="7" t="str">
        <f>IFERROR(__xludf.DUMMYFUNCTION("IF(AND(F3 &gt; 0.3, F3 &lt; 0.5), SPARKLINE(F3,{""charttype"",""bar"";""color1"",""Gold"";""max"",1}),
IF(F3 = 1, SPARKLINE(F3,{""charttype"",""bar"";""color1"",""Lime"";""max"",1}),
IF(F3 &gt;= 0.5, SPARKLINE(F3,{""charttype"",""bar"";""color1"",""GreenYellow"";"&amp;"""max"",1}),
SPARKLINE(F3,{""charttype"",""bar"";""color1"",""DarkOrange"";""max"",1}))))"),"")</f>
        <v/>
      </c>
      <c r="F3" s="8">
        <f t="shared" si="1"/>
        <v>0</v>
      </c>
      <c r="G3" s="9" t="s">
        <v>126</v>
      </c>
      <c r="H3" s="23" t="s">
        <v>57</v>
      </c>
      <c r="I3" s="10">
        <v>46100.0</v>
      </c>
      <c r="J3" s="11"/>
      <c r="K3" s="10">
        <v>46087.0</v>
      </c>
      <c r="L3" s="26" t="s">
        <v>127</v>
      </c>
      <c r="M3" s="5" t="s">
        <v>34</v>
      </c>
      <c r="N3" s="10">
        <v>46083.0</v>
      </c>
      <c r="O3" s="11"/>
      <c r="P3" s="5"/>
      <c r="Q3" s="10"/>
      <c r="R3" s="12"/>
      <c r="S3" s="13"/>
      <c r="T3" s="10"/>
      <c r="U3" s="24"/>
      <c r="V3" s="5"/>
      <c r="W3" s="10"/>
      <c r="X3" s="24"/>
      <c r="Y3" s="5"/>
      <c r="Z3" s="10"/>
      <c r="AA3" s="24"/>
      <c r="AB3" s="14"/>
      <c r="AC3" s="5" t="s">
        <v>36</v>
      </c>
      <c r="AD3" s="10"/>
      <c r="AE3" s="22"/>
    </row>
    <row r="4" ht="22.5" customHeight="1">
      <c r="A4" s="5">
        <v>3.0</v>
      </c>
      <c r="B4" s="5">
        <v>1.0</v>
      </c>
      <c r="C4" s="5" t="s">
        <v>128</v>
      </c>
      <c r="D4" s="6" t="s">
        <v>38</v>
      </c>
      <c r="E4" s="7" t="str">
        <f>IFERROR(__xludf.DUMMYFUNCTION("IF(AND(F4 &gt; 0.3, F4 &lt; 0.5), SPARKLINE(F4,{""charttype"",""bar"";""color1"",""Gold"";""max"",1}),
IF(F4 = 1, SPARKLINE(F4,{""charttype"",""bar"";""color1"",""Lime"";""max"",1}),
IF(F4 &gt;= 0.5, SPARKLINE(F4,{""charttype"",""bar"";""color1"",""GreenYellow"";"&amp;"""max"",1}),
SPARKLINE(F4,{""charttype"",""bar"";""color1"",""DarkOrange"";""max"",1}))))"),"")</f>
        <v/>
      </c>
      <c r="F4" s="8">
        <f t="shared" si="1"/>
        <v>0.75</v>
      </c>
      <c r="G4" s="15" t="s">
        <v>129</v>
      </c>
      <c r="H4" s="23" t="s">
        <v>57</v>
      </c>
      <c r="I4" s="10">
        <v>46098.0</v>
      </c>
      <c r="J4" s="11" t="s">
        <v>33</v>
      </c>
      <c r="K4" s="10">
        <v>46087.0</v>
      </c>
      <c r="L4" s="26" t="s">
        <v>124</v>
      </c>
      <c r="M4" s="5" t="s">
        <v>34</v>
      </c>
      <c r="N4" s="10">
        <v>46083.0</v>
      </c>
      <c r="O4" s="11" t="s">
        <v>33</v>
      </c>
      <c r="P4" s="5"/>
      <c r="Q4" s="10"/>
      <c r="R4" s="11" t="s">
        <v>42</v>
      </c>
      <c r="S4" s="13"/>
      <c r="T4" s="10"/>
      <c r="U4" s="22"/>
      <c r="V4" s="5"/>
      <c r="W4" s="10"/>
      <c r="X4" s="22"/>
      <c r="Y4" s="5"/>
      <c r="Z4" s="10"/>
      <c r="AA4" s="11" t="s">
        <v>33</v>
      </c>
      <c r="AB4" s="15" t="s">
        <v>130</v>
      </c>
      <c r="AC4" s="5" t="s">
        <v>36</v>
      </c>
      <c r="AD4" s="10"/>
      <c r="AE4" s="11" t="s">
        <v>42</v>
      </c>
    </row>
    <row r="5" ht="22.5" customHeight="1">
      <c r="A5" s="5">
        <v>3.0</v>
      </c>
      <c r="B5" s="5">
        <v>1.0</v>
      </c>
      <c r="C5" s="5" t="s">
        <v>131</v>
      </c>
      <c r="D5" s="6" t="s">
        <v>38</v>
      </c>
      <c r="E5" s="7" t="str">
        <f>IFERROR(__xludf.DUMMYFUNCTION("IF(AND(F5 &gt; 0.3, F5 &lt; 0.5), SPARKLINE(F5,{""charttype"",""bar"";""color1"",""Gold"";""max"",1}),
IF(F5 = 1, SPARKLINE(F5,{""charttype"",""bar"";""color1"",""Lime"";""max"",1}),
IF(F5 &gt;= 0.5, SPARKLINE(F5,{""charttype"",""bar"";""color1"",""GreenYellow"";"&amp;"""max"",1}),
SPARKLINE(F5,{""charttype"",""bar"";""color1"",""DarkOrange"";""max"",1}))))"),"")</f>
        <v/>
      </c>
      <c r="F5" s="8">
        <f t="shared" si="1"/>
        <v>0</v>
      </c>
      <c r="G5" s="15" t="s">
        <v>132</v>
      </c>
      <c r="H5" s="23" t="s">
        <v>57</v>
      </c>
      <c r="I5" s="10">
        <v>46100.0</v>
      </c>
      <c r="J5" s="22"/>
      <c r="K5" s="10"/>
      <c r="L5" s="26" t="s">
        <v>127</v>
      </c>
      <c r="M5" s="5" t="s">
        <v>34</v>
      </c>
      <c r="N5" s="10">
        <v>46083.0</v>
      </c>
      <c r="O5" s="22"/>
      <c r="P5" s="5"/>
      <c r="Q5" s="10"/>
      <c r="R5" s="22"/>
      <c r="S5" s="13"/>
      <c r="T5" s="10"/>
      <c r="U5" s="22"/>
      <c r="V5" s="5"/>
      <c r="W5" s="10"/>
      <c r="X5" s="22"/>
      <c r="Y5" s="5"/>
      <c r="Z5" s="10"/>
      <c r="AA5" s="11"/>
      <c r="AB5" s="14"/>
      <c r="AC5" s="5"/>
      <c r="AD5" s="10"/>
      <c r="AE5" s="22"/>
    </row>
    <row r="6" ht="22.5" hidden="1" customHeight="1">
      <c r="A6" s="5">
        <v>3.0</v>
      </c>
      <c r="B6" s="5">
        <v>1.0</v>
      </c>
      <c r="C6" s="5" t="s">
        <v>133</v>
      </c>
      <c r="D6" s="6" t="s">
        <v>55</v>
      </c>
      <c r="E6" s="7" t="str">
        <f>IFERROR(__xludf.DUMMYFUNCTION("IF(AND(F6 &gt; 0.3, F6 &lt; 0.5), SPARKLINE(F6,{""charttype"",""bar"";""color1"",""Gold"";""max"",1}),
IF(F6 = 1, SPARKLINE(F6,{""charttype"",""bar"";""color1"",""Lime"";""max"",1}),
IF(F6 &gt;= 0.5, SPARKLINE(F6,{""charttype"",""bar"";""color1"",""GreenYellow"";"&amp;"""max"",1}),
SPARKLINE(F6,{""charttype"",""bar"";""color1"",""DarkOrange"";""max"",1}))))"),"")</f>
        <v/>
      </c>
      <c r="F6" s="8">
        <f t="shared" si="1"/>
        <v>0</v>
      </c>
      <c r="G6" s="16" t="s">
        <v>134</v>
      </c>
      <c r="H6" s="23" t="s">
        <v>57</v>
      </c>
      <c r="I6" s="10">
        <v>46098.0</v>
      </c>
      <c r="J6" s="11" t="s">
        <v>63</v>
      </c>
      <c r="K6" s="10">
        <v>46087.0</v>
      </c>
      <c r="L6" s="26" t="s">
        <v>127</v>
      </c>
      <c r="M6" s="5" t="s">
        <v>34</v>
      </c>
      <c r="N6" s="10">
        <v>46083.0</v>
      </c>
      <c r="O6" s="22"/>
      <c r="P6" s="5"/>
      <c r="Q6" s="10"/>
      <c r="R6" s="22"/>
      <c r="S6" s="13"/>
      <c r="T6" s="10"/>
      <c r="U6" s="22"/>
      <c r="V6" s="5"/>
      <c r="W6" s="10"/>
      <c r="X6" s="22"/>
      <c r="Y6" s="5"/>
      <c r="Z6" s="10"/>
      <c r="AA6" s="22"/>
      <c r="AB6" s="14"/>
      <c r="AC6" s="5" t="s">
        <v>36</v>
      </c>
      <c r="AD6" s="10"/>
      <c r="AE6" s="22"/>
    </row>
    <row r="7" ht="22.5" hidden="1" customHeight="1">
      <c r="A7" s="5">
        <v>3.0</v>
      </c>
      <c r="B7" s="5">
        <v>1.0</v>
      </c>
      <c r="C7" s="5" t="s">
        <v>135</v>
      </c>
      <c r="D7" s="17" t="s">
        <v>48</v>
      </c>
      <c r="E7" s="7" t="str">
        <f>IFERROR(__xludf.DUMMYFUNCTION("IF(AND(F7 &gt; 0.3, F7 &lt; 0.5), SPARKLINE(F7,{""charttype"",""bar"";""color1"",""Gold"";""max"",1}),
IF(F7 = 1, SPARKLINE(F7,{""charttype"",""bar"";""color1"",""Lime"";""max"",1}),
IF(F7 &gt;= 0.5, SPARKLINE(F7,{""charttype"",""bar"";""color1"",""GreenYellow"";"&amp;"""max"",1}),
SPARKLINE(F7,{""charttype"",""bar"";""color1"",""DarkOrange"";""max"",1}))))"),"")</f>
        <v/>
      </c>
      <c r="F7" s="8">
        <f t="shared" si="1"/>
        <v>0.5</v>
      </c>
      <c r="G7" s="15" t="s">
        <v>136</v>
      </c>
      <c r="H7" s="23" t="s">
        <v>57</v>
      </c>
      <c r="I7" s="10">
        <v>46098.0</v>
      </c>
      <c r="J7" s="11" t="s">
        <v>33</v>
      </c>
      <c r="K7" s="10">
        <v>46087.0</v>
      </c>
      <c r="L7" s="26" t="s">
        <v>124</v>
      </c>
      <c r="M7" s="5" t="s">
        <v>34</v>
      </c>
      <c r="N7" s="10">
        <v>46083.0</v>
      </c>
      <c r="O7" s="11" t="s">
        <v>33</v>
      </c>
      <c r="P7" s="5"/>
      <c r="Q7" s="10"/>
      <c r="R7" s="11" t="s">
        <v>42</v>
      </c>
      <c r="S7" s="13"/>
      <c r="T7" s="10"/>
      <c r="U7" s="22"/>
      <c r="V7" s="5"/>
      <c r="W7" s="10"/>
      <c r="X7" s="22"/>
      <c r="Y7" s="5"/>
      <c r="Z7" s="10"/>
      <c r="AA7" s="22"/>
      <c r="AB7" s="14"/>
      <c r="AC7" s="5" t="s">
        <v>36</v>
      </c>
      <c r="AD7" s="10"/>
      <c r="AE7" s="22"/>
    </row>
    <row r="8" ht="22.5" customHeight="1">
      <c r="A8" s="5">
        <v>3.0</v>
      </c>
      <c r="B8" s="5">
        <v>1.0</v>
      </c>
      <c r="C8" s="5" t="s">
        <v>137</v>
      </c>
      <c r="D8" s="17" t="s">
        <v>38</v>
      </c>
      <c r="E8" s="7" t="str">
        <f>IFERROR(__xludf.DUMMYFUNCTION("IF(AND(F8 &gt; 0.3, F8 &lt; 0.5), SPARKLINE(F8,{""charttype"",""bar"";""color1"",""Gold"";""max"",1}),
IF(F8 = 1, SPARKLINE(F8,{""charttype"",""bar"";""color1"",""Lime"";""max"",1}),
IF(F8 &gt;= 0.5, SPARKLINE(F8,{""charttype"",""bar"";""color1"",""GreenYellow"";"&amp;"""max"",1}),
SPARKLINE(F8,{""charttype"",""bar"";""color1"",""DarkOrange"";""max"",1}))))"),"")</f>
        <v/>
      </c>
      <c r="F8" s="8">
        <f t="shared" si="1"/>
        <v>0.75</v>
      </c>
      <c r="G8" s="15" t="s">
        <v>138</v>
      </c>
      <c r="H8" s="23" t="s">
        <v>57</v>
      </c>
      <c r="I8" s="10">
        <v>46098.0</v>
      </c>
      <c r="J8" s="11" t="s">
        <v>33</v>
      </c>
      <c r="K8" s="10">
        <v>46087.0</v>
      </c>
      <c r="L8" s="26" t="s">
        <v>124</v>
      </c>
      <c r="M8" s="5" t="s">
        <v>34</v>
      </c>
      <c r="N8" s="10">
        <v>46083.0</v>
      </c>
      <c r="O8" s="11" t="s">
        <v>33</v>
      </c>
      <c r="P8" s="5"/>
      <c r="Q8" s="10"/>
      <c r="R8" s="11" t="s">
        <v>42</v>
      </c>
      <c r="S8" s="13"/>
      <c r="T8" s="10"/>
      <c r="U8" s="22"/>
      <c r="V8" s="5"/>
      <c r="W8" s="10"/>
      <c r="X8" s="22"/>
      <c r="Y8" s="5"/>
      <c r="Z8" s="10"/>
      <c r="AA8" s="11" t="s">
        <v>33</v>
      </c>
      <c r="AB8" s="18" t="s">
        <v>139</v>
      </c>
      <c r="AC8" s="5" t="s">
        <v>36</v>
      </c>
      <c r="AD8" s="10"/>
      <c r="AE8" s="11" t="s">
        <v>42</v>
      </c>
    </row>
    <row r="9" ht="22.5" hidden="1" customHeight="1">
      <c r="A9" s="5">
        <v>3.0</v>
      </c>
      <c r="B9" s="5">
        <v>1.0</v>
      </c>
      <c r="C9" s="5" t="s">
        <v>140</v>
      </c>
      <c r="D9" s="17" t="s">
        <v>71</v>
      </c>
      <c r="E9" s="7" t="str">
        <f>IFERROR(__xludf.DUMMYFUNCTION("IF(AND(F9 &gt; 0.3, F9 &lt; 0.5), SPARKLINE(F9,{""charttype"",""bar"";""color1"",""Gold"";""max"",1}),
IF(F9 = 1, SPARKLINE(F9,{""charttype"",""bar"";""color1"",""Lime"";""max"",1}),
IF(F9 &gt;= 0.5, SPARKLINE(F9,{""charttype"",""bar"";""color1"",""GreenYellow"";"&amp;"""max"",1}),
SPARKLINE(F9,{""charttype"",""bar"";""color1"",""DarkOrange"";""max"",1}))))"),"")</f>
        <v/>
      </c>
      <c r="F9" s="8">
        <f t="shared" si="1"/>
        <v>0.5</v>
      </c>
      <c r="G9" s="15" t="s">
        <v>141</v>
      </c>
      <c r="H9" s="23" t="s">
        <v>57</v>
      </c>
      <c r="I9" s="10">
        <v>46098.0</v>
      </c>
      <c r="J9" s="11" t="s">
        <v>33</v>
      </c>
      <c r="K9" s="10">
        <v>46087.0</v>
      </c>
      <c r="L9" s="26" t="s">
        <v>124</v>
      </c>
      <c r="M9" s="5" t="s">
        <v>34</v>
      </c>
      <c r="N9" s="10">
        <v>46083.0</v>
      </c>
      <c r="O9" s="11" t="s">
        <v>33</v>
      </c>
      <c r="P9" s="5"/>
      <c r="Q9" s="10"/>
      <c r="R9" s="11" t="s">
        <v>42</v>
      </c>
      <c r="S9" s="13"/>
      <c r="T9" s="10"/>
      <c r="U9" s="22"/>
      <c r="V9" s="5"/>
      <c r="W9" s="10"/>
      <c r="X9" s="22"/>
      <c r="Y9" s="5"/>
      <c r="Z9" s="10"/>
      <c r="AA9" s="22"/>
      <c r="AB9" s="14"/>
      <c r="AC9" s="5" t="s">
        <v>36</v>
      </c>
      <c r="AD9" s="10"/>
      <c r="AE9" s="22"/>
    </row>
    <row r="10" ht="22.5" hidden="1" customHeight="1">
      <c r="A10" s="5">
        <v>3.0</v>
      </c>
      <c r="B10" s="5">
        <v>1.0</v>
      </c>
      <c r="C10" s="5" t="s">
        <v>142</v>
      </c>
      <c r="D10" s="17" t="s">
        <v>48</v>
      </c>
      <c r="E10" s="7" t="str">
        <f>IFERROR(__xludf.DUMMYFUNCTION("IF(AND(F10 &gt; 0.3, F10 &lt; 0.5), SPARKLINE(F10,{""charttype"",""bar"";""color1"",""Gold"";""max"",1}),
IF(F10 = 1, SPARKLINE(F10,{""charttype"",""bar"";""color1"",""Lime"";""max"",1}),
IF(F10 &gt;= 0.5, SPARKLINE(F10,{""charttype"",""bar"";""color1"",""GreenYel"&amp;"low"";""max"",1}),
SPARKLINE(F10,{""charttype"",""bar"";""color1"",""DarkOrange"";""max"",1}))))"),"")</f>
        <v/>
      </c>
      <c r="F10" s="8">
        <f t="shared" si="1"/>
        <v>0.5</v>
      </c>
      <c r="G10" s="15" t="s">
        <v>143</v>
      </c>
      <c r="H10" s="23" t="s">
        <v>57</v>
      </c>
      <c r="I10" s="10">
        <v>46098.0</v>
      </c>
      <c r="J10" s="11" t="s">
        <v>33</v>
      </c>
      <c r="K10" s="10">
        <v>46087.0</v>
      </c>
      <c r="L10" s="26" t="s">
        <v>124</v>
      </c>
      <c r="M10" s="5" t="s">
        <v>34</v>
      </c>
      <c r="N10" s="10">
        <v>46083.0</v>
      </c>
      <c r="O10" s="11" t="s">
        <v>33</v>
      </c>
      <c r="P10" s="5"/>
      <c r="Q10" s="10"/>
      <c r="R10" s="11" t="s">
        <v>42</v>
      </c>
      <c r="S10" s="13"/>
      <c r="T10" s="10"/>
      <c r="U10" s="22"/>
      <c r="V10" s="5"/>
      <c r="W10" s="10"/>
      <c r="X10" s="22"/>
      <c r="Y10" s="5"/>
      <c r="Z10" s="10"/>
      <c r="AA10" s="22"/>
      <c r="AB10" s="19"/>
      <c r="AC10" s="5" t="s">
        <v>36</v>
      </c>
      <c r="AD10" s="10"/>
      <c r="AE10" s="22"/>
    </row>
    <row r="11" ht="22.5" customHeight="1">
      <c r="A11" s="5">
        <v>3.0</v>
      </c>
      <c r="B11" s="5">
        <v>1.0</v>
      </c>
      <c r="C11" s="5" t="s">
        <v>137</v>
      </c>
      <c r="D11" s="17" t="s">
        <v>38</v>
      </c>
      <c r="E11" s="7" t="str">
        <f>IFERROR(__xludf.DUMMYFUNCTION("IF(AND(F11 &gt; 0.3, F11 &lt; 0.5), SPARKLINE(F11,{""charttype"",""bar"";""color1"",""Gold"";""max"",1}),
IF(F11 = 1, SPARKLINE(F11,{""charttype"",""bar"";""color1"",""Lime"";""max"",1}),
IF(F11 &gt;= 0.5, SPARKLINE(F11,{""charttype"",""bar"";""color1"",""GreenYel"&amp;"low"";""max"",1}),
SPARKLINE(F11,{""charttype"",""bar"";""color1"",""DarkOrange"";""max"",1}))))"),"")</f>
        <v/>
      </c>
      <c r="F11" s="8">
        <f t="shared" si="1"/>
        <v>0.75</v>
      </c>
      <c r="G11" s="20" t="s">
        <v>144</v>
      </c>
      <c r="H11" s="23" t="s">
        <v>57</v>
      </c>
      <c r="I11" s="10">
        <v>46098.0</v>
      </c>
      <c r="J11" s="11" t="s">
        <v>33</v>
      </c>
      <c r="K11" s="10">
        <v>46087.0</v>
      </c>
      <c r="L11" s="26" t="s">
        <v>124</v>
      </c>
      <c r="M11" s="5" t="s">
        <v>34</v>
      </c>
      <c r="N11" s="10">
        <v>46083.0</v>
      </c>
      <c r="O11" s="11" t="s">
        <v>33</v>
      </c>
      <c r="P11" s="5"/>
      <c r="Q11" s="10"/>
      <c r="R11" s="11" t="s">
        <v>42</v>
      </c>
      <c r="S11" s="13"/>
      <c r="T11" s="10"/>
      <c r="U11" s="22"/>
      <c r="V11" s="5"/>
      <c r="W11" s="10"/>
      <c r="X11" s="22"/>
      <c r="Y11" s="5"/>
      <c r="Z11" s="10"/>
      <c r="AA11" s="11" t="s">
        <v>33</v>
      </c>
      <c r="AB11" s="20" t="s">
        <v>145</v>
      </c>
      <c r="AC11" s="5" t="s">
        <v>36</v>
      </c>
      <c r="AD11" s="10"/>
      <c r="AE11" s="11" t="s">
        <v>42</v>
      </c>
    </row>
    <row r="12" ht="22.5" hidden="1" customHeight="1">
      <c r="A12" s="5">
        <v>3.0</v>
      </c>
      <c r="B12" s="5">
        <v>1.0</v>
      </c>
      <c r="C12" s="5" t="s">
        <v>146</v>
      </c>
      <c r="D12" s="17" t="s">
        <v>71</v>
      </c>
      <c r="E12" s="7" t="str">
        <f>IFERROR(__xludf.DUMMYFUNCTION("IF(AND(F12 &gt; 0.3, F12 &lt; 0.5), SPARKLINE(F12,{""charttype"",""bar"";""color1"",""Gold"";""max"",1}),
IF(F12 = 1, SPARKLINE(F12,{""charttype"",""bar"";""color1"",""Lime"";""max"",1}),
IF(F12 &gt;= 0.5, SPARKLINE(F12,{""charttype"",""bar"";""color1"",""GreenYel"&amp;"low"";""max"",1}),
SPARKLINE(F12,{""charttype"",""bar"";""color1"",""DarkOrange"";""max"",1}))))"),"")</f>
        <v/>
      </c>
      <c r="F12" s="8">
        <f t="shared" si="1"/>
        <v>0.5</v>
      </c>
      <c r="G12" s="16" t="s">
        <v>147</v>
      </c>
      <c r="H12" s="23" t="s">
        <v>57</v>
      </c>
      <c r="I12" s="10">
        <v>46098.0</v>
      </c>
      <c r="J12" s="11" t="s">
        <v>33</v>
      </c>
      <c r="K12" s="10">
        <v>46087.0</v>
      </c>
      <c r="L12" s="26" t="s">
        <v>124</v>
      </c>
      <c r="M12" s="5" t="s">
        <v>34</v>
      </c>
      <c r="N12" s="10">
        <v>46083.0</v>
      </c>
      <c r="O12" s="11" t="s">
        <v>33</v>
      </c>
      <c r="P12" s="5"/>
      <c r="Q12" s="10"/>
      <c r="R12" s="11" t="s">
        <v>42</v>
      </c>
      <c r="S12" s="13"/>
      <c r="T12" s="10"/>
      <c r="U12" s="22"/>
      <c r="V12" s="5"/>
      <c r="W12" s="10"/>
      <c r="X12" s="22"/>
      <c r="Y12" s="5"/>
      <c r="Z12" s="10"/>
      <c r="AA12" s="22"/>
      <c r="AB12" s="19"/>
      <c r="AC12" s="5" t="s">
        <v>36</v>
      </c>
      <c r="AD12" s="10"/>
      <c r="AE12" s="22"/>
    </row>
    <row r="13" ht="22.5" hidden="1" customHeight="1">
      <c r="A13" s="5">
        <v>3.0</v>
      </c>
      <c r="B13" s="5">
        <v>1.0</v>
      </c>
      <c r="C13" s="5" t="s">
        <v>148</v>
      </c>
      <c r="D13" s="17" t="s">
        <v>59</v>
      </c>
      <c r="E13" s="7" t="str">
        <f>IFERROR(__xludf.DUMMYFUNCTION("IF(AND(F13 &gt; 0.3, F13 &lt; 0.5), SPARKLINE(F13,{""charttype"",""bar"";""color1"",""Gold"";""max"",1}),
IF(F13 = 1, SPARKLINE(F13,{""charttype"",""bar"";""color1"",""Lime"";""max"",1}),
IF(F13 &gt;= 0.5, SPARKLINE(F13,{""charttype"",""bar"";""color1"",""GreenYel"&amp;"low"";""max"",1}),
SPARKLINE(F13,{""charttype"",""bar"";""color1"",""DarkOrange"";""max"",1}))))"),"")</f>
        <v/>
      </c>
      <c r="F13" s="8">
        <f t="shared" si="1"/>
        <v>0.5</v>
      </c>
      <c r="G13" s="16" t="s">
        <v>149</v>
      </c>
      <c r="H13" s="23" t="s">
        <v>57</v>
      </c>
      <c r="I13" s="10">
        <v>46098.0</v>
      </c>
      <c r="J13" s="11" t="s">
        <v>33</v>
      </c>
      <c r="K13" s="10">
        <v>46087.0</v>
      </c>
      <c r="L13" s="26" t="s">
        <v>124</v>
      </c>
      <c r="M13" s="5" t="s">
        <v>34</v>
      </c>
      <c r="N13" s="10">
        <v>46083.0</v>
      </c>
      <c r="O13" s="11" t="s">
        <v>33</v>
      </c>
      <c r="P13" s="5"/>
      <c r="Q13" s="10"/>
      <c r="R13" s="11" t="s">
        <v>42</v>
      </c>
      <c r="S13" s="13"/>
      <c r="T13" s="10"/>
      <c r="U13" s="22"/>
      <c r="V13" s="5"/>
      <c r="W13" s="10"/>
      <c r="X13" s="22"/>
      <c r="Y13" s="5"/>
      <c r="Z13" s="10"/>
      <c r="AA13" s="22"/>
      <c r="AB13" s="19"/>
      <c r="AC13" s="5" t="s">
        <v>36</v>
      </c>
      <c r="AD13" s="10"/>
      <c r="AE13" s="22"/>
    </row>
    <row r="14" ht="22.5" hidden="1" customHeight="1">
      <c r="A14" s="5">
        <v>3.0</v>
      </c>
      <c r="B14" s="5">
        <v>1.0</v>
      </c>
      <c r="C14" s="5" t="s">
        <v>150</v>
      </c>
      <c r="D14" s="6" t="s">
        <v>44</v>
      </c>
      <c r="E14" s="7" t="str">
        <f>IFERROR(__xludf.DUMMYFUNCTION("IF(AND(F14 &gt; 0.3, F14 &lt; 0.5), SPARKLINE(F14,{""charttype"",""bar"";""color1"",""Gold"";""max"",1}),
IF(F14 = 1, SPARKLINE(F14,{""charttype"",""bar"";""color1"",""Lime"";""max"",1}),
IF(F14 &gt;= 0.5, SPARKLINE(F14,{""charttype"",""bar"";""color1"",""GreenYel"&amp;"low"";""max"",1}),
SPARKLINE(F14,{""charttype"",""bar"";""color1"",""DarkOrange"";""max"",1}))))"),"")</f>
        <v/>
      </c>
      <c r="F14" s="8">
        <f t="shared" si="1"/>
        <v>0.5</v>
      </c>
      <c r="G14" s="16" t="s">
        <v>151</v>
      </c>
      <c r="H14" s="23" t="s">
        <v>57</v>
      </c>
      <c r="I14" s="10">
        <v>46098.0</v>
      </c>
      <c r="J14" s="11" t="s">
        <v>33</v>
      </c>
      <c r="K14" s="10">
        <v>46087.0</v>
      </c>
      <c r="L14" s="26" t="s">
        <v>124</v>
      </c>
      <c r="M14" s="5" t="s">
        <v>34</v>
      </c>
      <c r="N14" s="10">
        <v>46083.0</v>
      </c>
      <c r="O14" s="11" t="s">
        <v>33</v>
      </c>
      <c r="P14" s="5"/>
      <c r="Q14" s="10"/>
      <c r="R14" s="11" t="s">
        <v>42</v>
      </c>
      <c r="S14" s="13"/>
      <c r="T14" s="10"/>
      <c r="U14" s="22"/>
      <c r="V14" s="5"/>
      <c r="W14" s="10"/>
      <c r="X14" s="22"/>
      <c r="Y14" s="5"/>
      <c r="Z14" s="10"/>
      <c r="AA14" s="22"/>
      <c r="AB14" s="14"/>
      <c r="AC14" s="5" t="s">
        <v>36</v>
      </c>
      <c r="AD14" s="10"/>
      <c r="AE14" s="22"/>
    </row>
    <row r="15" ht="22.5" hidden="1" customHeight="1">
      <c r="A15" s="5">
        <v>3.0</v>
      </c>
      <c r="B15" s="5">
        <v>2.0</v>
      </c>
      <c r="C15" s="5" t="s">
        <v>152</v>
      </c>
      <c r="D15" s="6" t="s">
        <v>30</v>
      </c>
      <c r="E15" s="7" t="str">
        <f>IFERROR(__xludf.DUMMYFUNCTION("IF(AND(F15 &gt; 0.3, F15 &lt; 0.5), SPARKLINE(F15,{""charttype"",""bar"";""color1"",""Gold"";""max"",1}),
IF(F15 = 1, SPARKLINE(F15,{""charttype"",""bar"";""color1"",""Lime"";""max"",1}),
IF(F15 &gt;= 0.5, SPARKLINE(F15,{""charttype"",""bar"";""color1"",""GreenYel"&amp;"low"";""max"",1}),
SPARKLINE(F15,{""charttype"",""bar"";""color1"",""DarkOrange"";""max"",1}))))"),"")</f>
        <v/>
      </c>
      <c r="F15" s="8">
        <f t="shared" si="1"/>
        <v>0.4</v>
      </c>
      <c r="G15" s="16" t="s">
        <v>153</v>
      </c>
      <c r="H15" s="23" t="s">
        <v>32</v>
      </c>
      <c r="I15" s="10">
        <v>46098.0</v>
      </c>
      <c r="J15" s="11" t="s">
        <v>33</v>
      </c>
      <c r="K15" s="10">
        <v>46087.0</v>
      </c>
      <c r="L15" s="26" t="s">
        <v>124</v>
      </c>
      <c r="M15" s="5" t="s">
        <v>34</v>
      </c>
      <c r="N15" s="10">
        <v>46083.0</v>
      </c>
      <c r="O15" s="11" t="s">
        <v>33</v>
      </c>
      <c r="P15" s="5"/>
      <c r="Q15" s="10"/>
      <c r="R15" s="12" t="s">
        <v>42</v>
      </c>
      <c r="S15" s="13"/>
      <c r="T15" s="10"/>
      <c r="U15" s="24"/>
      <c r="V15" s="5"/>
      <c r="W15" s="10"/>
      <c r="X15" s="24"/>
      <c r="Y15" s="5"/>
      <c r="Z15" s="10"/>
      <c r="AA15" s="24"/>
      <c r="AB15" s="14"/>
      <c r="AC15" s="5" t="s">
        <v>36</v>
      </c>
      <c r="AD15" s="10"/>
      <c r="AE15" s="22"/>
    </row>
    <row r="16" ht="22.5" customHeight="1">
      <c r="A16" s="5">
        <v>3.0</v>
      </c>
      <c r="B16" s="5">
        <v>2.0</v>
      </c>
      <c r="C16" s="5" t="s">
        <v>154</v>
      </c>
      <c r="D16" s="6" t="s">
        <v>38</v>
      </c>
      <c r="E16" s="7" t="str">
        <f>IFERROR(__xludf.DUMMYFUNCTION("IF(AND(F16 &gt; 0.3, F16 &lt; 0.5), SPARKLINE(F16,{""charttype"",""bar"";""color1"",""Gold"";""max"",1}),
IF(F16 = 1, SPARKLINE(F16,{""charttype"",""bar"";""color1"",""Lime"";""max"",1}),
IF(F16 &gt;= 0.5, SPARKLINE(F16,{""charttype"",""bar"";""color1"",""GreenYel"&amp;"low"";""max"",1}),
SPARKLINE(F16,{""charttype"",""bar"";""color1"",""DarkOrange"";""max"",1}))))"),"")</f>
        <v/>
      </c>
      <c r="F16" s="8">
        <f t="shared" si="1"/>
        <v>0.5</v>
      </c>
      <c r="G16" s="16" t="s">
        <v>155</v>
      </c>
      <c r="H16" s="23" t="s">
        <v>32</v>
      </c>
      <c r="I16" s="10">
        <v>46098.0</v>
      </c>
      <c r="J16" s="11" t="s">
        <v>33</v>
      </c>
      <c r="K16" s="10">
        <v>46087.0</v>
      </c>
      <c r="L16" s="26" t="s">
        <v>124</v>
      </c>
      <c r="M16" s="5" t="s">
        <v>34</v>
      </c>
      <c r="N16" s="10">
        <v>46083.0</v>
      </c>
      <c r="O16" s="11" t="s">
        <v>33</v>
      </c>
      <c r="P16" s="5"/>
      <c r="Q16" s="10"/>
      <c r="R16" s="11" t="s">
        <v>42</v>
      </c>
      <c r="S16" s="13"/>
      <c r="T16" s="10"/>
      <c r="U16" s="22"/>
      <c r="V16" s="5"/>
      <c r="W16" s="10"/>
      <c r="X16" s="22"/>
      <c r="Y16" s="5"/>
      <c r="Z16" s="10"/>
      <c r="AA16" s="11" t="s">
        <v>69</v>
      </c>
      <c r="AB16" s="16" t="s">
        <v>156</v>
      </c>
      <c r="AC16" s="5" t="s">
        <v>36</v>
      </c>
      <c r="AD16" s="10"/>
      <c r="AE16" s="22"/>
    </row>
    <row r="17" ht="22.5" hidden="1" customHeight="1">
      <c r="A17" s="5">
        <v>3.0</v>
      </c>
      <c r="B17" s="5">
        <v>2.0</v>
      </c>
      <c r="C17" s="5" t="s">
        <v>157</v>
      </c>
      <c r="D17" s="6" t="s">
        <v>48</v>
      </c>
      <c r="E17" s="7" t="str">
        <f>IFERROR(__xludf.DUMMYFUNCTION("IF(AND(F17 &gt; 0.3, F17 &lt; 0.5), SPARKLINE(F17,{""charttype"",""bar"";""color1"",""Gold"";""max"",1}),
IF(F17 = 1, SPARKLINE(F17,{""charttype"",""bar"";""color1"",""Lime"";""max"",1}),
IF(F17 &gt;= 0.5, SPARKLINE(F17,{""charttype"",""bar"";""color1"",""GreenYel"&amp;"low"";""max"",1}),
SPARKLINE(F17,{""charttype"",""bar"";""color1"",""DarkOrange"";""max"",1}))))"),"")</f>
        <v/>
      </c>
      <c r="F17" s="8">
        <f t="shared" si="1"/>
        <v>0.5</v>
      </c>
      <c r="G17" s="15" t="s">
        <v>158</v>
      </c>
      <c r="H17" s="23" t="s">
        <v>32</v>
      </c>
      <c r="I17" s="10">
        <v>46098.0</v>
      </c>
      <c r="J17" s="11" t="s">
        <v>33</v>
      </c>
      <c r="K17" s="10">
        <v>46087.0</v>
      </c>
      <c r="L17" s="26" t="s">
        <v>124</v>
      </c>
      <c r="M17" s="5" t="s">
        <v>34</v>
      </c>
      <c r="N17" s="10">
        <v>46083.0</v>
      </c>
      <c r="O17" s="11" t="s">
        <v>33</v>
      </c>
      <c r="P17" s="5"/>
      <c r="Q17" s="10"/>
      <c r="R17" s="11" t="s">
        <v>42</v>
      </c>
      <c r="S17" s="13"/>
      <c r="T17" s="10"/>
      <c r="U17" s="22"/>
      <c r="V17" s="5"/>
      <c r="W17" s="10"/>
      <c r="X17" s="22"/>
      <c r="Y17" s="5"/>
      <c r="Z17" s="10"/>
      <c r="AA17" s="22"/>
      <c r="AB17" s="14"/>
      <c r="AC17" s="5" t="s">
        <v>36</v>
      </c>
      <c r="AD17" s="10"/>
      <c r="AE17" s="22"/>
    </row>
    <row r="18" ht="22.5" hidden="1" customHeight="1">
      <c r="A18" s="5">
        <v>3.0</v>
      </c>
      <c r="B18" s="5">
        <v>2.0</v>
      </c>
      <c r="C18" s="5" t="s">
        <v>159</v>
      </c>
      <c r="D18" s="6" t="s">
        <v>71</v>
      </c>
      <c r="E18" s="7" t="str">
        <f>IFERROR(__xludf.DUMMYFUNCTION("IF(AND(F18 &gt; 0.3, F18 &lt; 0.5), SPARKLINE(F18,{""charttype"",""bar"";""color1"",""Gold"";""max"",1}),
IF(F18 = 1, SPARKLINE(F18,{""charttype"",""bar"";""color1"",""Lime"";""max"",1}),
IF(F18 &gt;= 0.5, SPARKLINE(F18,{""charttype"",""bar"";""color1"",""GreenYel"&amp;"low"";""max"",1}),
SPARKLINE(F18,{""charttype"",""bar"";""color1"",""DarkOrange"";""max"",1}))))"),"")</f>
        <v/>
      </c>
      <c r="F18" s="8">
        <f t="shared" si="1"/>
        <v>0.5</v>
      </c>
      <c r="G18" s="15" t="s">
        <v>160</v>
      </c>
      <c r="H18" s="23" t="s">
        <v>32</v>
      </c>
      <c r="I18" s="10">
        <v>46102.0</v>
      </c>
      <c r="J18" s="11" t="s">
        <v>33</v>
      </c>
      <c r="K18" s="10">
        <v>46087.0</v>
      </c>
      <c r="L18" s="26" t="s">
        <v>124</v>
      </c>
      <c r="M18" s="5" t="s">
        <v>34</v>
      </c>
      <c r="N18" s="10">
        <v>46083.0</v>
      </c>
      <c r="O18" s="11" t="s">
        <v>33</v>
      </c>
      <c r="P18" s="5"/>
      <c r="Q18" s="10"/>
      <c r="R18" s="11" t="s">
        <v>42</v>
      </c>
      <c r="S18" s="13"/>
      <c r="T18" s="10"/>
      <c r="U18" s="22"/>
      <c r="V18" s="5"/>
      <c r="W18" s="10"/>
      <c r="X18" s="22"/>
      <c r="Y18" s="5"/>
      <c r="Z18" s="10"/>
      <c r="AA18" s="22"/>
      <c r="AB18" s="14"/>
      <c r="AC18" s="5" t="s">
        <v>36</v>
      </c>
      <c r="AD18" s="10"/>
      <c r="AE18" s="22"/>
    </row>
    <row r="19" ht="22.5" hidden="1" customHeight="1">
      <c r="A19" s="5">
        <v>3.0</v>
      </c>
      <c r="B19" s="5">
        <v>2.0</v>
      </c>
      <c r="C19" s="5" t="s">
        <v>161</v>
      </c>
      <c r="D19" s="6" t="s">
        <v>44</v>
      </c>
      <c r="E19" s="7" t="str">
        <f>IFERROR(__xludf.DUMMYFUNCTION("IF(AND(F19 &gt; 0.3, F19 &lt; 0.5), SPARKLINE(F19,{""charttype"",""bar"";""color1"",""Gold"";""max"",1}),
IF(F19 = 1, SPARKLINE(F19,{""charttype"",""bar"";""color1"",""Lime"";""max"",1}),
IF(F19 &gt;= 0.5, SPARKLINE(F19,{""charttype"",""bar"";""color1"",""GreenYel"&amp;"low"";""max"",1}),
SPARKLINE(F19,{""charttype"",""bar"";""color1"",""DarkOrange"";""max"",1}))))"),"")</f>
        <v/>
      </c>
      <c r="F19" s="8">
        <f t="shared" si="1"/>
        <v>0.5</v>
      </c>
      <c r="G19" s="15" t="s">
        <v>162</v>
      </c>
      <c r="H19" s="23" t="s">
        <v>32</v>
      </c>
      <c r="I19" s="10">
        <v>46100.0</v>
      </c>
      <c r="J19" s="11" t="s">
        <v>33</v>
      </c>
      <c r="K19" s="10">
        <v>46087.0</v>
      </c>
      <c r="L19" s="26" t="s">
        <v>124</v>
      </c>
      <c r="M19" s="5" t="s">
        <v>34</v>
      </c>
      <c r="N19" s="10">
        <v>46083.0</v>
      </c>
      <c r="O19" s="11" t="s">
        <v>33</v>
      </c>
      <c r="P19" s="5"/>
      <c r="Q19" s="10"/>
      <c r="R19" s="11" t="s">
        <v>42</v>
      </c>
      <c r="S19" s="13"/>
      <c r="T19" s="10"/>
      <c r="U19" s="22"/>
      <c r="V19" s="5"/>
      <c r="W19" s="10"/>
      <c r="X19" s="22"/>
      <c r="Y19" s="5"/>
      <c r="Z19" s="10"/>
      <c r="AA19" s="22"/>
      <c r="AB19" s="14"/>
      <c r="AC19" s="5" t="s">
        <v>36</v>
      </c>
      <c r="AD19" s="10"/>
      <c r="AE19" s="22"/>
    </row>
    <row r="20" ht="22.5" hidden="1" customHeight="1">
      <c r="A20" s="5">
        <v>3.0</v>
      </c>
      <c r="B20" s="5">
        <v>2.0</v>
      </c>
      <c r="C20" s="5" t="s">
        <v>163</v>
      </c>
      <c r="D20" s="17" t="s">
        <v>59</v>
      </c>
      <c r="E20" s="7" t="str">
        <f>IFERROR(__xludf.DUMMYFUNCTION("IF(AND(F20 &gt; 0.3, F20 &lt; 0.5), SPARKLINE(F20,{""charttype"",""bar"";""color1"",""Gold"";""max"",1}),
IF(F20 = 1, SPARKLINE(F20,{""charttype"",""bar"";""color1"",""Lime"";""max"",1}),
IF(F20 &gt;= 0.5, SPARKLINE(F20,{""charttype"",""bar"";""color1"",""GreenYel"&amp;"low"";""max"",1}),
SPARKLINE(F20,{""charttype"",""bar"";""color1"",""DarkOrange"";""max"",1}))))"),"")</f>
        <v/>
      </c>
      <c r="F20" s="8">
        <f t="shared" si="1"/>
        <v>0.5</v>
      </c>
      <c r="G20" s="15" t="s">
        <v>164</v>
      </c>
      <c r="H20" s="23" t="s">
        <v>32</v>
      </c>
      <c r="I20" s="10">
        <v>46100.0</v>
      </c>
      <c r="J20" s="11" t="s">
        <v>33</v>
      </c>
      <c r="K20" s="10">
        <v>46087.0</v>
      </c>
      <c r="L20" s="26" t="s">
        <v>124</v>
      </c>
      <c r="M20" s="5" t="s">
        <v>34</v>
      </c>
      <c r="N20" s="10">
        <v>46083.0</v>
      </c>
      <c r="O20" s="11" t="s">
        <v>33</v>
      </c>
      <c r="P20" s="5"/>
      <c r="Q20" s="10"/>
      <c r="R20" s="11" t="s">
        <v>42</v>
      </c>
      <c r="S20" s="13"/>
      <c r="T20" s="10"/>
      <c r="U20" s="22"/>
      <c r="V20" s="5"/>
      <c r="W20" s="10"/>
      <c r="X20" s="22"/>
      <c r="Y20" s="5"/>
      <c r="Z20" s="10"/>
      <c r="AA20" s="22"/>
      <c r="AB20" s="14"/>
      <c r="AC20" s="5" t="s">
        <v>36</v>
      </c>
      <c r="AD20" s="10"/>
      <c r="AE20" s="22"/>
    </row>
    <row r="21" ht="22.5" hidden="1" customHeight="1">
      <c r="A21" s="5">
        <v>3.0</v>
      </c>
      <c r="B21" s="5">
        <v>2.0</v>
      </c>
      <c r="C21" s="5" t="s">
        <v>165</v>
      </c>
      <c r="D21" s="17" t="s">
        <v>48</v>
      </c>
      <c r="E21" s="7" t="str">
        <f>IFERROR(__xludf.DUMMYFUNCTION("IF(AND(F21 &gt; 0.3, F21 &lt; 0.5), SPARKLINE(F21,{""charttype"",""bar"";""color1"",""Gold"";""max"",1}),
IF(F21 = 1, SPARKLINE(F21,{""charttype"",""bar"";""color1"",""Lime"";""max"",1}),
IF(F21 &gt;= 0.5, SPARKLINE(F21,{""charttype"",""bar"";""color1"",""GreenYel"&amp;"low"";""max"",1}),
SPARKLINE(F21,{""charttype"",""bar"";""color1"",""DarkOrange"";""max"",1}))))"),"")</f>
        <v/>
      </c>
      <c r="F21" s="8">
        <f t="shared" si="1"/>
        <v>0.5</v>
      </c>
      <c r="G21" s="15" t="s">
        <v>166</v>
      </c>
      <c r="H21" s="23" t="s">
        <v>32</v>
      </c>
      <c r="I21" s="10">
        <v>46100.0</v>
      </c>
      <c r="J21" s="11" t="s">
        <v>33</v>
      </c>
      <c r="K21" s="10">
        <v>46087.0</v>
      </c>
      <c r="L21" s="26" t="s">
        <v>124</v>
      </c>
      <c r="M21" s="5" t="s">
        <v>34</v>
      </c>
      <c r="N21" s="10">
        <v>46083.0</v>
      </c>
      <c r="O21" s="11" t="s">
        <v>33</v>
      </c>
      <c r="P21" s="5"/>
      <c r="Q21" s="10"/>
      <c r="R21" s="11" t="s">
        <v>42</v>
      </c>
      <c r="S21" s="13"/>
      <c r="T21" s="10"/>
      <c r="U21" s="22"/>
      <c r="V21" s="5"/>
      <c r="W21" s="10"/>
      <c r="X21" s="22"/>
      <c r="Y21" s="5"/>
      <c r="Z21" s="10"/>
      <c r="AA21" s="22"/>
      <c r="AB21" s="14"/>
      <c r="AC21" s="5" t="s">
        <v>36</v>
      </c>
      <c r="AD21" s="10"/>
      <c r="AE21" s="22"/>
    </row>
    <row r="22" ht="22.5" customHeight="1">
      <c r="A22" s="5">
        <v>3.0</v>
      </c>
      <c r="B22" s="5">
        <v>2.0</v>
      </c>
      <c r="C22" s="5" t="s">
        <v>154</v>
      </c>
      <c r="D22" s="17" t="s">
        <v>38</v>
      </c>
      <c r="E22" s="7" t="str">
        <f>IFERROR(__xludf.DUMMYFUNCTION("IF(AND(F22 &gt; 0.3, F22 &lt; 0.5), SPARKLINE(F22,{""charttype"",""bar"";""color1"",""Gold"";""max"",1}),
IF(F22 = 1, SPARKLINE(F22,{""charttype"",""bar"";""color1"",""Lime"";""max"",1}),
IF(F22 &gt;= 0.5, SPARKLINE(F22,{""charttype"",""bar"";""color1"",""GreenYel"&amp;"low"";""max"",1}),
SPARKLINE(F22,{""charttype"",""bar"";""color1"",""DarkOrange"";""max"",1}))))"),"")</f>
        <v/>
      </c>
      <c r="F22" s="8">
        <f t="shared" si="1"/>
        <v>0</v>
      </c>
      <c r="G22" s="15" t="s">
        <v>155</v>
      </c>
      <c r="H22" s="23" t="s">
        <v>32</v>
      </c>
      <c r="I22" s="10">
        <v>46100.0</v>
      </c>
      <c r="J22" s="11" t="s">
        <v>63</v>
      </c>
      <c r="K22" s="10">
        <v>46087.0</v>
      </c>
      <c r="L22" s="26" t="s">
        <v>127</v>
      </c>
      <c r="M22" s="5" t="s">
        <v>34</v>
      </c>
      <c r="N22" s="10">
        <v>46083.0</v>
      </c>
      <c r="O22" s="22"/>
      <c r="P22" s="5"/>
      <c r="Q22" s="10"/>
      <c r="R22" s="22"/>
      <c r="S22" s="13"/>
      <c r="T22" s="10"/>
      <c r="U22" s="22"/>
      <c r="V22" s="5"/>
      <c r="W22" s="10"/>
      <c r="X22" s="22"/>
      <c r="Y22" s="5"/>
      <c r="Z22" s="10"/>
      <c r="AA22" s="22"/>
      <c r="AB22" s="14"/>
      <c r="AC22" s="5" t="s">
        <v>36</v>
      </c>
      <c r="AD22" s="10"/>
      <c r="AE22" s="22"/>
    </row>
    <row r="23" ht="22.5" hidden="1" customHeight="1">
      <c r="A23" s="5">
        <v>3.0</v>
      </c>
      <c r="B23" s="5">
        <v>2.0</v>
      </c>
      <c r="C23" s="5" t="s">
        <v>167</v>
      </c>
      <c r="D23" s="17" t="s">
        <v>55</v>
      </c>
      <c r="E23" s="7" t="str">
        <f>IFERROR(__xludf.DUMMYFUNCTION("IF(AND(F23 &gt; 0.3, F23 &lt; 0.5), SPARKLINE(F23,{""charttype"",""bar"";""color1"",""Gold"";""max"",1}),
IF(F23 = 1, SPARKLINE(F23,{""charttype"",""bar"";""color1"",""Lime"";""max"",1}),
IF(F23 &gt;= 0.5, SPARKLINE(F23,{""charttype"",""bar"";""color1"",""GreenYel"&amp;"low"";""max"",1}),
SPARKLINE(F23,{""charttype"",""bar"";""color1"",""DarkOrange"";""max"",1}))))"),"")</f>
        <v/>
      </c>
      <c r="F23" s="8">
        <f t="shared" si="1"/>
        <v>0.5</v>
      </c>
      <c r="G23" s="15" t="s">
        <v>168</v>
      </c>
      <c r="H23" s="23" t="s">
        <v>32</v>
      </c>
      <c r="I23" s="10">
        <v>46098.0</v>
      </c>
      <c r="J23" s="11" t="s">
        <v>33</v>
      </c>
      <c r="K23" s="10">
        <v>46087.0</v>
      </c>
      <c r="L23" s="26" t="s">
        <v>124</v>
      </c>
      <c r="M23" s="5" t="s">
        <v>34</v>
      </c>
      <c r="N23" s="10">
        <v>46083.0</v>
      </c>
      <c r="O23" s="11" t="s">
        <v>33</v>
      </c>
      <c r="P23" s="5"/>
      <c r="Q23" s="10"/>
      <c r="R23" s="11" t="s">
        <v>42</v>
      </c>
      <c r="S23" s="13"/>
      <c r="T23" s="10"/>
      <c r="U23" s="22"/>
      <c r="V23" s="5"/>
      <c r="W23" s="10"/>
      <c r="X23" s="22"/>
      <c r="Y23" s="5"/>
      <c r="Z23" s="10"/>
      <c r="AA23" s="22"/>
      <c r="AB23" s="14"/>
      <c r="AC23" s="5" t="s">
        <v>36</v>
      </c>
      <c r="AD23" s="10"/>
      <c r="AE23" s="22"/>
    </row>
    <row r="24" ht="22.5" hidden="1" customHeight="1">
      <c r="A24" s="5">
        <v>3.0</v>
      </c>
      <c r="B24" s="5">
        <v>2.0</v>
      </c>
      <c r="C24" s="5" t="s">
        <v>169</v>
      </c>
      <c r="D24" s="17" t="s">
        <v>48</v>
      </c>
      <c r="E24" s="7" t="str">
        <f>IFERROR(__xludf.DUMMYFUNCTION("IF(AND(F24 &gt; 0.3, F24 &lt; 0.5), SPARKLINE(F24,{""charttype"",""bar"";""color1"",""Gold"";""max"",1}),
IF(F24 = 1, SPARKLINE(F24,{""charttype"",""bar"";""color1"",""Lime"";""max"",1}),
IF(F24 &gt;= 0.5, SPARKLINE(F24,{""charttype"",""bar"";""color1"",""GreenYel"&amp;"low"";""max"",1}),
SPARKLINE(F24,{""charttype"",""bar"";""color1"",""DarkOrange"";""max"",1}))))"),"")</f>
        <v/>
      </c>
      <c r="F24" s="8">
        <f t="shared" si="1"/>
        <v>0</v>
      </c>
      <c r="G24" s="15" t="s">
        <v>170</v>
      </c>
      <c r="H24" s="23" t="s">
        <v>32</v>
      </c>
      <c r="I24" s="10">
        <v>46100.0</v>
      </c>
      <c r="J24" s="11" t="s">
        <v>63</v>
      </c>
      <c r="K24" s="10">
        <v>46087.0</v>
      </c>
      <c r="L24" s="26" t="s">
        <v>127</v>
      </c>
      <c r="M24" s="5" t="s">
        <v>34</v>
      </c>
      <c r="N24" s="10">
        <v>46083.0</v>
      </c>
      <c r="O24" s="22"/>
      <c r="P24" s="5"/>
      <c r="Q24" s="10"/>
      <c r="R24" s="22"/>
      <c r="S24" s="13"/>
      <c r="T24" s="10"/>
      <c r="U24" s="22"/>
      <c r="V24" s="5"/>
      <c r="W24" s="10"/>
      <c r="X24" s="22"/>
      <c r="Y24" s="5"/>
      <c r="Z24" s="10"/>
      <c r="AA24" s="22"/>
      <c r="AB24" s="14"/>
      <c r="AC24" s="5" t="s">
        <v>36</v>
      </c>
      <c r="AD24" s="10"/>
      <c r="AE24" s="22"/>
    </row>
    <row r="25" ht="22.5" hidden="1" customHeight="1">
      <c r="A25" s="5">
        <v>3.0</v>
      </c>
      <c r="B25" s="5">
        <v>2.0</v>
      </c>
      <c r="C25" s="5" t="s">
        <v>159</v>
      </c>
      <c r="D25" s="17" t="s">
        <v>71</v>
      </c>
      <c r="E25" s="7" t="str">
        <f>IFERROR(__xludf.DUMMYFUNCTION("IF(AND(F25 &gt; 0.3, F25 &lt; 0.5), SPARKLINE(F25,{""charttype"",""bar"";""color1"",""Gold"";""max"",1}),
IF(F25 = 1, SPARKLINE(F25,{""charttype"",""bar"";""color1"",""Lime"";""max"",1}),
IF(F25 &gt;= 0.5, SPARKLINE(F25,{""charttype"",""bar"";""color1"",""GreenYel"&amp;"low"";""max"",1}),
SPARKLINE(F25,{""charttype"",""bar"";""color1"",""DarkOrange"";""max"",1}))))"),"")</f>
        <v/>
      </c>
      <c r="F25" s="8">
        <f t="shared" si="1"/>
        <v>0.5</v>
      </c>
      <c r="G25" s="15" t="s">
        <v>160</v>
      </c>
      <c r="H25" s="23" t="s">
        <v>32</v>
      </c>
      <c r="I25" s="10">
        <v>46098.0</v>
      </c>
      <c r="J25" s="11" t="s">
        <v>33</v>
      </c>
      <c r="K25" s="10">
        <v>46087.0</v>
      </c>
      <c r="L25" s="26" t="s">
        <v>124</v>
      </c>
      <c r="M25" s="5" t="s">
        <v>34</v>
      </c>
      <c r="N25" s="10">
        <v>46083.0</v>
      </c>
      <c r="O25" s="11" t="s">
        <v>33</v>
      </c>
      <c r="P25" s="5"/>
      <c r="Q25" s="10"/>
      <c r="R25" s="11" t="s">
        <v>42</v>
      </c>
      <c r="S25" s="13"/>
      <c r="T25" s="10"/>
      <c r="U25" s="22"/>
      <c r="V25" s="5"/>
      <c r="W25" s="10"/>
      <c r="X25" s="22"/>
      <c r="Y25" s="5"/>
      <c r="Z25" s="10"/>
      <c r="AA25" s="22"/>
      <c r="AB25" s="14"/>
      <c r="AC25" s="5" t="s">
        <v>36</v>
      </c>
      <c r="AD25" s="10"/>
      <c r="AE25" s="22"/>
    </row>
    <row r="26" ht="22.5" hidden="1" customHeight="1">
      <c r="A26" s="5">
        <v>3.0</v>
      </c>
      <c r="B26" s="5">
        <v>2.0</v>
      </c>
      <c r="C26" s="5" t="s">
        <v>171</v>
      </c>
      <c r="D26" s="17" t="s">
        <v>44</v>
      </c>
      <c r="E26" s="7" t="str">
        <f>IFERROR(__xludf.DUMMYFUNCTION("IF(AND(F26 &gt; 0.3, F26 &lt; 0.5), SPARKLINE(F26,{""charttype"",""bar"";""color1"",""Gold"";""max"",1}),
IF(F26 = 1, SPARKLINE(F26,{""charttype"",""bar"";""color1"",""Lime"";""max"",1}),
IF(F26 &gt;= 0.5, SPARKLINE(F26,{""charttype"",""bar"";""color1"",""GreenYel"&amp;"low"";""max"",1}),
SPARKLINE(F26,{""charttype"",""bar"";""color1"",""DarkOrange"";""max"",1}))))"),"")</f>
        <v/>
      </c>
      <c r="F26" s="8">
        <f t="shared" si="1"/>
        <v>0.5</v>
      </c>
      <c r="G26" s="15" t="s">
        <v>172</v>
      </c>
      <c r="H26" s="23" t="s">
        <v>32</v>
      </c>
      <c r="I26" s="10">
        <v>46098.0</v>
      </c>
      <c r="J26" s="11" t="s">
        <v>33</v>
      </c>
      <c r="K26" s="10">
        <v>46087.0</v>
      </c>
      <c r="L26" s="26" t="s">
        <v>124</v>
      </c>
      <c r="M26" s="5" t="s">
        <v>34</v>
      </c>
      <c r="N26" s="10">
        <v>46083.0</v>
      </c>
      <c r="O26" s="11" t="s">
        <v>33</v>
      </c>
      <c r="P26" s="5"/>
      <c r="Q26" s="10"/>
      <c r="R26" s="11" t="s">
        <v>42</v>
      </c>
      <c r="S26" s="13"/>
      <c r="T26" s="10"/>
      <c r="U26" s="22"/>
      <c r="V26" s="5"/>
      <c r="W26" s="10"/>
      <c r="X26" s="22"/>
      <c r="Y26" s="5"/>
      <c r="Z26" s="10"/>
      <c r="AA26" s="22"/>
      <c r="AB26" s="14"/>
      <c r="AC26" s="5" t="s">
        <v>36</v>
      </c>
      <c r="AD26" s="10"/>
      <c r="AE26" s="22"/>
    </row>
    <row r="27" ht="22.5" hidden="1" customHeight="1">
      <c r="A27" s="5">
        <v>3.0</v>
      </c>
      <c r="B27" s="5">
        <v>2.0</v>
      </c>
      <c r="C27" s="5" t="s">
        <v>173</v>
      </c>
      <c r="D27" s="17" t="s">
        <v>59</v>
      </c>
      <c r="E27" s="7" t="str">
        <f>IFERROR(__xludf.DUMMYFUNCTION("IF(AND(F27 &gt; 0.3, F27 &lt; 0.5), SPARKLINE(F27,{""charttype"",""bar"";""color1"",""Gold"";""max"",1}),
IF(F27 = 1, SPARKLINE(F27,{""charttype"",""bar"";""color1"",""Lime"";""max"",1}),
IF(F27 &gt;= 0.5, SPARKLINE(F27,{""charttype"",""bar"";""color1"",""GreenYel"&amp;"low"";""max"",1}),
SPARKLINE(F27,{""charttype"",""bar"";""color1"",""DarkOrange"";""max"",1}))))"),"")</f>
        <v/>
      </c>
      <c r="F27" s="8">
        <f t="shared" si="1"/>
        <v>0.5</v>
      </c>
      <c r="G27" s="15" t="s">
        <v>174</v>
      </c>
      <c r="H27" s="23" t="s">
        <v>32</v>
      </c>
      <c r="I27" s="10">
        <v>46098.0</v>
      </c>
      <c r="J27" s="11" t="s">
        <v>33</v>
      </c>
      <c r="K27" s="10">
        <v>46087.0</v>
      </c>
      <c r="L27" s="26" t="s">
        <v>124</v>
      </c>
      <c r="M27" s="5" t="s">
        <v>34</v>
      </c>
      <c r="N27" s="10">
        <v>46083.0</v>
      </c>
      <c r="O27" s="11" t="s">
        <v>33</v>
      </c>
      <c r="P27" s="5"/>
      <c r="Q27" s="10"/>
      <c r="R27" s="11" t="s">
        <v>42</v>
      </c>
      <c r="S27" s="13"/>
      <c r="T27" s="10"/>
      <c r="U27" s="22"/>
      <c r="V27" s="5"/>
      <c r="W27" s="10"/>
      <c r="X27" s="22"/>
      <c r="Y27" s="5"/>
      <c r="Z27" s="10"/>
      <c r="AA27" s="22"/>
      <c r="AB27" s="14"/>
      <c r="AC27" s="5" t="s">
        <v>36</v>
      </c>
      <c r="AD27" s="10"/>
      <c r="AE27" s="22"/>
    </row>
  </sheetData>
  <dataValidations>
    <dataValidation type="list" allowBlank="1" sqref="L2:L27">
      <formula1>"Atrasado,No prazo,Concluído com Atraso"</formula1>
    </dataValidation>
    <dataValidation type="list" allowBlank="1" sqref="R2:R27 U2:U27 AA2:AA27">
      <formula1>"Concluído,Em Andamento,Pendente,Precisa de Alteração"</formula1>
    </dataValidation>
    <dataValidation type="list" allowBlank="1" sqref="J2:J27">
      <formula1>"Concluído,Em Andamento,Pendente,Precisa de Alteração,Não há"</formula1>
    </dataValidation>
    <dataValidation type="custom" allowBlank="1" showDropDown="1" sqref="I2:I27 K2:K27 N2:N27 Q2:Q27 T2:T27 W2:W27 Z2:Z27 AD2:AD27">
      <formula1>OR(NOT(ISERROR(DATEVALUE(I2))), AND(ISNUMBER(I2), LEFT(CELL("format", I2))="D"))</formula1>
    </dataValidation>
    <dataValidation type="list" allowBlank="1" sqref="X2:X27">
      <formula1>"Concluído,Em Andamento,Pendente,Precisa de Alteração,Não Há"</formula1>
    </dataValidation>
    <dataValidation type="list" allowBlank="1" sqref="AE2:AE27">
      <formula1>"Concluído,Em Andamento,Pendente,Aguardando Correção"</formula1>
    </dataValidation>
    <dataValidation type="custom" allowBlank="1" showDropDown="1" sqref="F2:F27">
      <formula1>AND(ISNUMBER(F2),(NOT(OR(NOT(ISERROR(DATEVALUE(F2))), AND(ISNUMBER(F2), LEFT(CELL("format", F2))="D")))))</formula1>
    </dataValidation>
    <dataValidation type="list" allowBlank="1" sqref="O2:O27">
      <formula1>"Concluído,Em Andamento,Pendente,Aguardando Correção,Não há"</formula1>
    </dataValidation>
  </dataValidations>
  <hyperlinks>
    <hyperlink r:id="rId1" ref="G2"/>
    <hyperlink r:id="rId2" ref="H2"/>
    <hyperlink r:id="rId3" ref="G3"/>
    <hyperlink r:id="rId4" ref="H3"/>
    <hyperlink r:id="rId5" ref="G4"/>
    <hyperlink r:id="rId6" ref="H4"/>
    <hyperlink r:id="rId7" ref="AB4"/>
    <hyperlink r:id="rId8" ref="G5"/>
    <hyperlink r:id="rId9" ref="H5"/>
    <hyperlink r:id="rId10" ref="G6"/>
    <hyperlink r:id="rId11" ref="H6"/>
    <hyperlink r:id="rId12" ref="G7"/>
    <hyperlink r:id="rId13" ref="H7"/>
    <hyperlink r:id="rId14" ref="G8"/>
    <hyperlink r:id="rId15" ref="H8"/>
    <hyperlink r:id="rId16" ref="AB8"/>
    <hyperlink r:id="rId17" ref="G9"/>
    <hyperlink r:id="rId18" ref="H9"/>
    <hyperlink r:id="rId19" ref="G10"/>
    <hyperlink r:id="rId20" ref="H10"/>
    <hyperlink r:id="rId21" ref="G11"/>
    <hyperlink r:id="rId22" ref="H11"/>
    <hyperlink r:id="rId23" ref="AB11"/>
    <hyperlink r:id="rId24" ref="G12"/>
    <hyperlink r:id="rId25" ref="H12"/>
    <hyperlink r:id="rId26" ref="G13"/>
    <hyperlink r:id="rId27" ref="H13"/>
    <hyperlink r:id="rId28" ref="G14"/>
    <hyperlink r:id="rId29" ref="H14"/>
    <hyperlink r:id="rId30" ref="G15"/>
    <hyperlink r:id="rId31" ref="H15"/>
    <hyperlink r:id="rId32" ref="G16"/>
    <hyperlink r:id="rId33" ref="H16"/>
    <hyperlink r:id="rId34" ref="AB16"/>
    <hyperlink r:id="rId35" ref="G17"/>
    <hyperlink r:id="rId36" ref="H17"/>
    <hyperlink r:id="rId37" ref="G18"/>
    <hyperlink r:id="rId38" ref="H18"/>
    <hyperlink r:id="rId39" ref="G19"/>
    <hyperlink r:id="rId40" ref="H19"/>
    <hyperlink r:id="rId41" ref="G20"/>
    <hyperlink r:id="rId42" ref="H20"/>
    <hyperlink r:id="rId43" ref="G21"/>
    <hyperlink r:id="rId44" ref="H21"/>
    <hyperlink r:id="rId45" ref="G22"/>
    <hyperlink r:id="rId46" ref="H22"/>
    <hyperlink r:id="rId47" ref="G23"/>
    <hyperlink r:id="rId48" ref="H23"/>
    <hyperlink r:id="rId49" ref="G24"/>
    <hyperlink r:id="rId50" ref="H24"/>
    <hyperlink r:id="rId51" ref="G25"/>
    <hyperlink r:id="rId52" ref="H25"/>
    <hyperlink r:id="rId53" ref="G26"/>
    <hyperlink r:id="rId54" ref="H26"/>
    <hyperlink r:id="rId55" ref="G27"/>
    <hyperlink r:id="rId56" ref="H27"/>
  </hyperlinks>
  <drawing r:id="rId57"/>
  <tableParts count="1">
    <tablePart r:id="rId59"/>
  </tableParts>
</worksheet>
</file>