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dade 1" sheetId="1" r:id="rId5"/>
    <sheet state="visible" name="Unidade 2" sheetId="2" r:id="rId6"/>
    <sheet state="visible" name="Unidade 3" sheetId="3" r:id="rId7"/>
    <sheet state="visible" name="Unidade 4" sheetId="4" r:id="rId8"/>
  </sheets>
  <definedNames>
    <definedName hidden="1" localSheetId="0" name="Z_B201EEE6_683A_45CE_962C_E553C6CF9E9A_.wvu.FilterData">'Unidade 1'!$B$8:$T$20</definedName>
    <definedName hidden="1" localSheetId="1" name="Z_B201EEE6_683A_45CE_962C_E553C6CF9E9A_.wvu.FilterData">'Unidade 2'!$B$8:$S$22</definedName>
    <definedName hidden="1" localSheetId="2" name="Z_B201EEE6_683A_45CE_962C_E553C6CF9E9A_.wvu.FilterData">'Unidade 3'!$B$8:$S$23</definedName>
    <definedName hidden="1" localSheetId="3" name="Z_B201EEE6_683A_45CE_962C_E553C6CF9E9A_.wvu.FilterData">'Unidade 4'!$B$8:$S$28</definedName>
  </definedNames>
  <calcPr/>
  <customWorkbookViews>
    <customWorkbookView activeSheetId="0" maximized="1" windowHeight="0" windowWidth="0" guid="{B201EEE6-683A-45CE-962C-E553C6CF9E9A}" name="Nº Capítulo"/>
  </customWorkbookViews>
</workbook>
</file>

<file path=xl/sharedStrings.xml><?xml version="1.0" encoding="utf-8"?>
<sst xmlns="http://schemas.openxmlformats.org/spreadsheetml/2006/main" count="748" uniqueCount="124">
  <si>
    <t>[PADIS 2] Matriz Instrucional</t>
  </si>
  <si>
    <t xml:space="preserve">   CH Total Síncrona (h):</t>
  </si>
  <si>
    <r>
      <rPr>
        <rFont val="Arial"/>
        <b/>
        <color rgb="FFCC0000"/>
        <sz val="12.0"/>
      </rPr>
      <t>Atenção:</t>
    </r>
    <r>
      <rPr>
        <rFont val="Arial"/>
        <color rgb="FFCC0000"/>
        <sz val="12.0"/>
      </rPr>
      <t xml:space="preserve"> Não é necessário preencher manualmente a tabela ao lado. Todos os valores serão calculados e atualizados automaticamente por meio das fórmulas já configuradas.</t>
    </r>
  </si>
  <si>
    <t xml:space="preserve">   CH Total Assíncrona (h):</t>
  </si>
  <si>
    <t>Data de Criação: 09/07/2025</t>
  </si>
  <si>
    <t xml:space="preserve">   CH Atividades (h):</t>
  </si>
  <si>
    <t>Carga Horária do Curso: 120 h</t>
  </si>
  <si>
    <t xml:space="preserve">   Carga Horária Total (h):</t>
  </si>
  <si>
    <t>Nº Capítulo</t>
  </si>
  <si>
    <t>Nome Capítulo</t>
  </si>
  <si>
    <t>Conteúdo (resumo)</t>
  </si>
  <si>
    <t>Nº Objetivo Educacional</t>
  </si>
  <si>
    <t>Objetivo Educacional</t>
  </si>
  <si>
    <t>Nível (TRB)</t>
  </si>
  <si>
    <t>Papéis e atores</t>
  </si>
  <si>
    <t>Objetos de Aprendizagem</t>
  </si>
  <si>
    <t>Nº Objetos de Aprendizagem</t>
  </si>
  <si>
    <t>CH Síncrona (min)</t>
  </si>
  <si>
    <t>CH Assíncrona  (min)</t>
  </si>
  <si>
    <t>Período (dias)</t>
  </si>
  <si>
    <t>Ferramentas</t>
  </si>
  <si>
    <t>Atividade Formativa</t>
  </si>
  <si>
    <t>Atividade Somativa</t>
  </si>
  <si>
    <t>CH Atividades (min)</t>
  </si>
  <si>
    <t>Atividade Pontuação</t>
  </si>
  <si>
    <t>Feedback</t>
  </si>
  <si>
    <t>Column 19</t>
  </si>
  <si>
    <t>1</t>
  </si>
  <si>
    <t>Fundamentos de Linux</t>
  </si>
  <si>
    <t>Introdução aos fundamentos do sistema operacional Linux, incluindo sua estrutura de diretórios e gerenciamento de permissões. Estudo e prática dos principais comandos do terminal para manipulação de arquivos e processos, uso de editores de texto (vim, nano, gedit) e criação de scripts em Bash. Aplicação de redirecionamento, pipes e técnicas de automação para otimizar tarefas no ambiente Linux.</t>
  </si>
  <si>
    <t>Capacitar o aluno a utilizar o Linux de forma prática, compreendendo sua estrutura, comandos essenciais, edição de arquivos e criação de scripts em Bash para automação de tarefas.</t>
  </si>
  <si>
    <t>Compreender (Entendimento) - Descrever, Explicar, Identificar.</t>
  </si>
  <si>
    <t>Estudantes: Participação ativa em discussões e atividades práticas.
Mentores: Facilitação das discussões e orientação nas atividades práticas.</t>
  </si>
  <si>
    <t>Roteiro de Vídeo</t>
  </si>
  <si>
    <t>Idem</t>
  </si>
  <si>
    <t>Slide</t>
  </si>
  <si>
    <t>Estudantes: Participação ativa em discussões e atividades práticas.
Mentores: Facilitação das discussões e orientação nas atividades práticas.</t>
  </si>
  <si>
    <t>Quiz</t>
  </si>
  <si>
    <t>Plano de Aula</t>
  </si>
  <si>
    <t>idem</t>
  </si>
  <si>
    <t>Ebook</t>
  </si>
  <si>
    <t>Tarefa</t>
  </si>
  <si>
    <t>Atividade Aberta</t>
  </si>
  <si>
    <t>2</t>
  </si>
  <si>
    <t>Ferramentas de Administração e Versionamento em Linux</t>
  </si>
  <si>
    <t>Este capítulo apresenta recursos essenciais para administração e produtividade no Linux, incluindo instalação e gerenciamento de pacotes com apt e yum, configuração de variáveis de ambiente e shells, manipulação de arquivos de log e debugging de erros comuns. Também aborda o uso de Makefiles para automação de compilação e introduz o Git para versionamento de projetos em HDL.</t>
  </si>
  <si>
    <t>Capacitar o aluno a administrar e configurar o ambiente Linux de forma eficiente, compreendendo o uso de pacotes, variáveis e logs. Desenvolver habilidades em automação de processos com Makefiles e introduzir boas práticas de controle de versão com Git, aplicadas a projetos de desenvolvimento em HDL.</t>
  </si>
  <si>
    <r>
      <rPr>
        <rFont val="Arial"/>
        <b/>
        <color rgb="FFCC0000"/>
        <sz val="12.0"/>
      </rPr>
      <t>Atenção:</t>
    </r>
    <r>
      <rPr>
        <rFont val="Arial"/>
        <color rgb="FFCC0000"/>
        <sz val="12.0"/>
      </rPr>
      <t xml:space="preserve"> Não é necessário preencher manualmente a tabela ao lado. Todos os valores serão calculados e atualizados automaticamente por meio das fórmulas já configuradas.</t>
    </r>
  </si>
  <si>
    <t>Carga Horária do Curso: h</t>
  </si>
  <si>
    <t>Google COLAB e Python</t>
  </si>
  <si>
    <t>Apresentação do Google Colab como IDE em nuvem, além de aplicações dos tipos primitivos de dados, declaração de variáveis e utilização de operadores matemáticos e lógicos.</t>
  </si>
  <si>
    <t>Capacitar o aluno a utilizar o  Google Colab de forma prática, compreendendo como realizar declaração de variáveis e trabalhar com operadores matemáticos e lógicos.</t>
  </si>
  <si>
    <t>AVA</t>
  </si>
  <si>
    <t>Não prevista</t>
  </si>
  <si>
    <t>0 - 10</t>
  </si>
  <si>
    <t>Ao final do capítulo, feedback via ferramenta de tarefas.</t>
  </si>
  <si>
    <t>Introdução das Estruturas de Controle de Fluxo: Tomada de decisão com condicional if/else e estruturas de repetição while e for para automação de tarefas.</t>
  </si>
  <si>
    <t>Compreender e criar scripts inteligentes usando if, elif e else e utilizar estruturas de repetição while e for para automação de tarefas.</t>
  </si>
  <si>
    <t>Idem.</t>
  </si>
  <si>
    <t>Revisão dos conteúdos: operadores matemáticos e lógicos, Tomada de decisão com condicional if/else e estruturas de repetição while e for.</t>
  </si>
  <si>
    <t>Revisar os conteúdos: operadores matemáticos e lógicos, Tomada de decisão com condicional if/else e estruturas de repetição while e for.</t>
  </si>
  <si>
    <t>Plano de aula + slides</t>
  </si>
  <si>
    <t>Plataforma de videoconferência</t>
  </si>
  <si>
    <t xml:space="preserve">Material de apoio formativo iniciando com a lógica de programação em Python até a implementação de sistemas de automação com controle bidirecional via nuvem.
</t>
  </si>
  <si>
    <t>Estudar por este eBook permite ao aluno revisar os temas no seu próprio ritmo, consultar explicações detalhadas sempre que necessário e se preparar melhor para quiz e atividades práticas. Além disso, o conteúdo foi cuidadosamente organizado para promover uma aprendizagem significativa utilizando a metodologia "Zero-Setup".</t>
  </si>
  <si>
    <t>Simulador Wokwi com MicroPython</t>
  </si>
  <si>
    <t>Apresentação do simulador Wokwi com utilização do MicroPython. Arquitetura do ESP32. Manipulação de GPIOs para acionamento de cargas (LEDs) e leitura de entradas digitais.</t>
  </si>
  <si>
    <t>Capacitar o aluno a utilizar o Wokwi e programar em MicroPython., Compreender a arquitetura do ESP32 com manipulação de GPIOs para leitura de entradas digitais.</t>
  </si>
  <si>
    <t>Introdução aos sinais analógicos e potência: Conversão Analógico-Digital (ADC) para leitura de sensores resistivos</t>
  </si>
  <si>
    <t>Compreender o funcionamento de um  Conversão Analógico-Digital (ADC).</t>
  </si>
  <si>
    <t>Revisão dos conteúdos: Manipulação de GPIOs para acionamento de cargas (LEDs) e leitura de entradas digitais. Conversão Analógico-Digital (ADC).</t>
  </si>
  <si>
    <t>Revisar os conteúdos: Manipulação de GPIOs para acionamento de cargas (LEDs) e leitura de entradas digitais. Conversão Analógico-Digital (ADC).</t>
  </si>
  <si>
    <t>3</t>
  </si>
  <si>
    <t>Conectividade IoT</t>
  </si>
  <si>
    <t>Introdução a conectividade e web: Biblioteca network e conexão Wi-Fi em modo Station. Consumo de APIs RESTful utilizando requisições HTTP e tratamento de objetos JSON.</t>
  </si>
  <si>
    <t xml:space="preserve">Compreender e  usar biblioteca para navegar na web, além de diferenciar sites para humanos (HTML) e sites para máquinas (JSON).
</t>
  </si>
  <si>
    <t>Introduçao aos Protocolos Industriais e Dashboards: Arquitetura MQTT (Publicador/Assinante). Configuração de Broker e Serialização de dados. Criação de Dashboards no ThingsBoard.</t>
  </si>
  <si>
    <t>Demonstrar a arquitetura MQTT com a  configuração de Broker e mostrar uma Dashboards na plataforma ThingsBoard..</t>
  </si>
  <si>
    <t>Revisão dos conteúdos: conectividade e web, Dashboards.</t>
  </si>
  <si>
    <t>Revisar os conteúdos: conectividade e web, Dashboards.</t>
  </si>
  <si>
    <t>Verificação do aprendizado: Phyton, MicroPhyton e conectividade</t>
  </si>
  <si>
    <t>Verificar o aprendizado: Phyton, MicroPhyton e conectividade.</t>
  </si>
  <si>
    <r>
      <rPr>
        <rFont val="Arial"/>
        <b/>
        <color rgb="FFCC0000"/>
        <sz val="12.0"/>
      </rPr>
      <t>Atenção:</t>
    </r>
    <r>
      <rPr>
        <rFont val="Arial"/>
        <color rgb="FFCC0000"/>
        <sz val="12.0"/>
      </rPr>
      <t xml:space="preserve"> Não é necessário preencher manualmente a tabela ao lado. Todos os valores serão calculados e atualizados automaticamente por meio das fórmulas já configuradas.</t>
    </r>
  </si>
  <si>
    <t xml:space="preserve">Estrutura de cristais semicondutores (Si, Ge, GaAs) &amp; Diodo semicondutor
</t>
  </si>
  <si>
    <t>Este capítulo aborda a estrutura de cristais de semicondutores, como silício (Si), germânio (Ge) e arseneto de gálio (GaAs), incluindo seus níveis de energia e a formação de materiais do tipo p e do tipo n. Também apresenta o funcionamento e as características básicas do diodo, como níveis de resistência e capacitância, destacando as diferenças entre o diodo ideal e o prático.</t>
  </si>
  <si>
    <t>Definir a estrutura de cristais semicondutores, abrangendo materiais do tipo p e do tipo n, que constituem a base para a construção de dispositivos CMOS, e proporcionar a compreensão do funcionamento e das características básicas do diodo, incluindo seus níveis de resistência e capacitância, evidenciando as diferenças entre o diodo ideal e o prático para fundamentar aplicações em circuitos eletrônicos.</t>
  </si>
  <si>
    <t>Vídeo aula (roteiro</t>
  </si>
  <si>
    <t>0-10</t>
  </si>
  <si>
    <t xml:space="preserve">Estrutura de cristais semicondutores (Si, Ge, GaAs) &amp; Diodo semicondutor
</t>
  </si>
  <si>
    <t>Proporcionar a complementação do conteúdo por meio de encontros síncronos com o tutor,
permitindo que os alunos esclareçam dúvidas surgidas nas videoaulas do capítulo 7.</t>
  </si>
  <si>
    <t>Proporcionar a aplicação prática dos conceitos de diodos por meio da análise de circuitos no software LTSPICE, verificando seu comportamento e características em diferentes condições de operação.</t>
  </si>
  <si>
    <t>Estudar por este eBook permite ao aluno revisar os temas no seu próprio ritmo, consultar explicações detalhadas sempre que necessário e se preparar melhor para quizzes e atividades práticas. Além disso, o conteúdo foi cuidadosamente organizado para promover uma aprendizagem significativa e alinhada com as competências exigidas no campo profissional.</t>
  </si>
  <si>
    <t>Transistores de efeito de campo (FET)</t>
  </si>
  <si>
    <t>O conteúdo explora os transistores de efeito de campo, detalhando sua estrutura, funcionamento e curvas I-V, com foco no JFET, MOSFETs (depleção e intensificação) e CMOS.
Além disso, aborda configurações de polarização (fixa, autopolarização e por divisor de tensão) e o uso de FET em amplificadores (modelo para pequenos sinais).</t>
  </si>
  <si>
    <t>Entender a estrutura, funcionamento e curvas I-V dos FETs, incluindo JFET, MOSFETs, CMOS, configurações de polarização e amplificadores.</t>
  </si>
  <si>
    <t>Proporcionar a complementação do conteúdo por meio de encontros síncronos com o tutor,
permitindo que os alunos esclareçam dúvidas surgidas nas videoaulas do capítulo 8.</t>
  </si>
  <si>
    <t>Aplicar, de forma prática, os princípios de transistores FET através da análise de circuitos no software Proteus, avaliando seu desempenho em diferentes configurações e condições de operação.</t>
  </si>
  <si>
    <t>Estudar por este eBook permite ao aluno revisar os temas no seu próprio ritmo, consultar explicações detalhadas sempre que necessário e se preparar melhor para quiz e atividades práticas. Além disso, o conteúdo foi cuidadosamente organizado para promover uma aprendizagem significativa e alinhada com as competências exigidas no campo profissional.</t>
  </si>
  <si>
    <t>Lógica CMOS</t>
  </si>
  <si>
    <t>O conteúdo contempla a lógica CMOS, abordando sua evolução histórica, os transistores MOS e os principais circuitos lógicos, como inversores, portas NAND, NOR, e estruturas compostas, além de técnicas com transistores de passagem e multiplexadores.</t>
  </si>
  <si>
    <t>Entender o funcionamento teórico dos transistores MOS, em especial, trabalhando como invesor, NAND e NOR.</t>
  </si>
  <si>
    <t>Proporcionar a complementação do conteúdo por meio de encontros síncronos com o tutor,
permitindo que os alunos esclareçam dúvidas surgidas nas videoaulas do capítulo 9.</t>
  </si>
  <si>
    <t>Promover a aplicação prática dos conceitos de CMOS por meio do projeto de um inversor no software Proteus, avaliando seu desempenho e características em diferentes condições de operação.</t>
  </si>
  <si>
    <r>
      <rPr>
        <rFont val="Arial"/>
        <b/>
        <color rgb="FFCC0000"/>
        <sz val="12.0"/>
      </rPr>
      <t>Atenção:</t>
    </r>
    <r>
      <rPr>
        <rFont val="Arial"/>
        <color rgb="FFCC0000"/>
        <sz val="12.0"/>
      </rPr>
      <t xml:space="preserve"> Não é necessário preencher manualmente a tabela ao lado. Todos os valores serão calculados e atualizados automaticamente por meio das fórmulas já configuradas.</t>
    </r>
  </si>
  <si>
    <t>Introdução a fabricação e layout CMOS</t>
  </si>
  <si>
    <t>O conteúdo aborda a fabricação e layout CMOS (incluindo o inversor, processo, regras e layouts) e a divisão do projeto com ênfase em design lógico, hierarquia e linguagens de descrição de hardware.</t>
  </si>
  <si>
    <t>O conteúdo abrange a fabricação e layout CMOS, além da divisão do projeto com design lógico, hierarquia e linguagens de descrição de hardware.</t>
  </si>
  <si>
    <t>Desenvolver e aplicar conhecimentos práticos na criação de projetos de PCB utilizando o AltiumCad, desde a concepção do layout até a geração dos arquivos para fabricação, integrando teoria e prática em eletrônica. (parte 1)</t>
  </si>
  <si>
    <t>Fabricação e layout CMOS</t>
  </si>
  <si>
    <t xml:space="preserve">  </t>
  </si>
  <si>
    <t>Compreender os processos e etapas críticos na fabricação e layout CMOS, desde a formação do wafer até a passivação final, enfatizando técnicas como fotolitografia, formação de well, isolamento com SiO₂, construção de gate e drain, além de contatos, metalização e metrologia.</t>
  </si>
  <si>
    <t>Proporcionar a complementação do conteúdo por meio de encontros síncronos com o tutor,
permitindo que os alunos esclareçam dúvidas surgidas nas videoaulas do capítulo 1.</t>
  </si>
  <si>
    <t>Desenvolver e aplicar conhecimentos práticos na criação de projetos de PCB utilizando o AltiumCad, desde a concepção do layout até a geração dos arquivos para fabricação, integrando teoria e prática em eletrônica. (parte 2)</t>
  </si>
  <si>
    <t>Melhorias no processo CMOS e problemas de fabricação</t>
  </si>
  <si>
    <t>O conteúdo aborda as principais regras de projeto de layout, iniciando com os fundamentos e evoluindo para detalhes específicos como regras de contato, metalização e vias.
Inclui a definição de estruturas auxiliares, como a scribe line, e destaca as particularidades dos projetos CMOS escaláveis (λ based - MOSIS) e em micron.
A síntese dessas regras visa garantir precisão e eficiência na implementação de circuitos integrados avançados.</t>
  </si>
  <si>
    <t>Desenvolver a capacidade de aplicar, de forma prática e teórica, as regras de projeto de layout, explorando desde os fundamentos e o background das regras até os detalhes dos contatos, metalização, vias e estruturas como scribe line. Além disso, aprofundar os conhecimentos em projetos CMOS escaláveis (λ based - MOSIS) e em micron, integrando as normas de projeto para garantir precisão e eficiência em circuitos avançados.</t>
  </si>
  <si>
    <t>Proporcionar a complementação do conteúdo por meio de encontros síncronos com o tutor,
permitindo que os alunos esclareçam dúvidas surgidas nas videoaulas do capítulo 12.</t>
  </si>
  <si>
    <t>Desenvolver habilidades de projeto e simulação de dispositivos NMOS utilizando o software MicroWind, permitindo aos alunos aplicar conceitos teóricos na prática e aprimorar competências em microeletrônica.</t>
  </si>
  <si>
    <t>4</t>
  </si>
  <si>
    <t>Regras de projeto de layout</t>
  </si>
  <si>
    <t>O conteúdo explora melhorias no processo CMOS, abrangendo tecnologias avançadas como SOI, gates high-k, silício tensionado, FINFETs, semicondutores III-V e nanotubos de carbono, além dos desafios de migração para processos de última geração.
São detalhadas regras e diretrizes de projeto, como regras de antena, densidade de camada, resolução, ranhura de metal, além de estratégias para mitigar efeitos parasitários e otimizar o rendimento.
Aborda ainda o fluxo completo do design, desde a conclusão do projeto até o tapeout, enfatizando a evolução do layout e o encapsulamento de circuitos integrados.</t>
  </si>
  <si>
    <t>Capacitar os alunos a implementar melhorias no processo CMOS e resolver desafios de fabricação aplicando regras técnicas específicas e inovações além do convencional.</t>
  </si>
  <si>
    <t>Proporcionar a complementação do conteúdo por meio de encontros síncronos com o tutor,
permitindo que os alunos esclareçam dúvidas surgidas nas videoaulas do capítulo.</t>
  </si>
  <si>
    <t>Desenvolver habilidades de projeto e simulação de dispositivos PMOS utilizando o software MicroWind, capacitando os alunos a aplicar conhecimentos teóricos na prática e aprimorar competências em eletrônica.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</si>
</sst>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h]:mm"/>
  </numFmts>
  <fonts count="23">
    <font>
      <sz val="10.0"/>
      <color rgb="FF000000"/>
      <name val="Arial"/>
      <scheme val="minor"/>
    </font>
    <font>
      <color theme="1"/>
      <name val="Nunito"/>
    </font>
    <font>
      <b/>
      <sz val="16.0"/>
      <color theme="1"/>
      <name val="Nunito"/>
    </font>
    <font/>
    <font>
      <b/>
      <sz val="14.0"/>
      <color theme="1"/>
      <name val="Nunito"/>
    </font>
    <font>
      <b/>
      <sz val="11.0"/>
      <color theme="1"/>
      <name val="Arial"/>
    </font>
    <font>
      <color rgb="FF0B5394"/>
      <name val="Arial"/>
    </font>
    <font>
      <sz val="12.0"/>
      <color rgb="FFCC0000"/>
      <name val="Arial"/>
    </font>
    <font>
      <b/>
      <sz val="11.0"/>
      <color theme="1"/>
      <name val="Nunito"/>
    </font>
    <font>
      <color rgb="FF990000"/>
      <name val="Arial"/>
    </font>
    <font>
      <color theme="1"/>
      <name val="Arial"/>
    </font>
    <font>
      <color rgb="FF434343"/>
      <name val="Nunito"/>
    </font>
    <font>
      <sz val="11.0"/>
      <color rgb="FF434343"/>
      <name val="Nunito"/>
    </font>
    <font>
      <color rgb="FF434343"/>
      <name val="Roboto"/>
    </font>
    <font>
      <color rgb="FF473821"/>
      <name val="Nunito"/>
    </font>
    <font>
      <color rgb="FF11734B"/>
      <name val="Nunito"/>
    </font>
    <font>
      <color rgb="FF5A3286"/>
      <name val="Nunito"/>
    </font>
    <font>
      <color rgb="FF0A53A8"/>
      <name val="Nunito"/>
    </font>
    <font>
      <color rgb="FFE5CFF2"/>
      <name val="Nunito"/>
    </font>
    <font>
      <color rgb="FFD4EDBC"/>
      <name val="Nunito"/>
    </font>
    <font>
      <sz val="11.0"/>
      <color theme="1"/>
      <name val="Nunito"/>
    </font>
    <font>
      <color theme="1"/>
      <name val="Arial"/>
      <scheme val="minor"/>
    </font>
    <font>
      <color rgb="FF3D3D3D"/>
      <name val="Nuni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2" fillId="0" fontId="2" numFmtId="49" xfId="0" applyAlignment="1" applyBorder="1" applyFont="1" applyNumberFormat="1">
      <alignment horizontal="left" readingOrder="0" shrinkToFit="0" vertical="top" wrapText="0"/>
    </xf>
    <xf borderId="3" fillId="0" fontId="3" numFmtId="0" xfId="0" applyBorder="1" applyFont="1"/>
    <xf borderId="1" fillId="0" fontId="1" numFmtId="0" xfId="0" applyAlignment="1" applyBorder="1" applyFont="1">
      <alignment horizontal="left" readingOrder="0" shrinkToFit="0" wrapText="1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0" fillId="0" fontId="1" numFmtId="0" xfId="0" applyFont="1"/>
    <xf borderId="2" fillId="0" fontId="4" numFmtId="49" xfId="0" applyAlignment="1" applyBorder="1" applyFont="1" applyNumberFormat="1">
      <alignment horizontal="left" readingOrder="0" shrinkToFit="0" vertical="top" wrapText="0"/>
    </xf>
    <xf borderId="4" fillId="0" fontId="5" numFmtId="0" xfId="0" applyAlignment="1" applyBorder="1" applyFont="1">
      <alignment vertical="center"/>
    </xf>
    <xf borderId="5" fillId="0" fontId="6" numFmtId="164" xfId="0" applyAlignment="1" applyBorder="1" applyFont="1" applyNumberFormat="1">
      <alignment horizontal="center"/>
    </xf>
    <xf borderId="0" fillId="0" fontId="7" numFmtId="0" xfId="0" applyAlignment="1" applyFont="1">
      <alignment horizontal="center" shrinkToFit="0" vertical="center" wrapText="1"/>
    </xf>
    <xf borderId="4" fillId="0" fontId="5" numFmtId="0" xfId="0" applyAlignment="1" applyBorder="1" applyFont="1">
      <alignment vertical="center"/>
    </xf>
    <xf borderId="6" fillId="0" fontId="1" numFmtId="0" xfId="0" applyAlignment="1" applyBorder="1" applyFont="1">
      <alignment horizontal="left" readingOrder="0" shrinkToFit="0" wrapText="1"/>
    </xf>
    <xf borderId="7" fillId="0" fontId="3" numFmtId="0" xfId="0" applyBorder="1" applyFont="1"/>
    <xf borderId="4" fillId="0" fontId="8" numFmtId="49" xfId="0" applyAlignment="1" applyBorder="1" applyFont="1" applyNumberFormat="1">
      <alignment vertical="center"/>
    </xf>
    <xf borderId="5" fillId="0" fontId="9" numFmtId="164" xfId="0" applyAlignment="1" applyBorder="1" applyFont="1" applyNumberFormat="1">
      <alignment horizontal="center"/>
    </xf>
    <xf borderId="1" fillId="0" fontId="2" numFmtId="49" xfId="0" applyAlignment="1" applyBorder="1" applyFont="1" applyNumberFormat="1">
      <alignment horizontal="left" readingOrder="0" shrinkToFit="0" wrapText="0"/>
    </xf>
    <xf borderId="6" fillId="0" fontId="1" numFmtId="0" xfId="0" applyAlignment="1" applyBorder="1" applyFont="1">
      <alignment horizontal="left" readingOrder="0" shrinkToFit="0" wrapText="0"/>
    </xf>
    <xf borderId="8" fillId="0" fontId="3" numFmtId="0" xfId="0" applyBorder="1" applyFont="1"/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0" fontId="10" numFmtId="49" xfId="0" applyAlignment="1" applyBorder="1" applyFont="1" applyNumberFormat="1">
      <alignment vertical="bottom"/>
    </xf>
    <xf borderId="9" fillId="2" fontId="11" numFmtId="49" xfId="0" applyAlignment="1" applyBorder="1" applyFill="1" applyFont="1" applyNumberFormat="1">
      <alignment shrinkToFit="0" vertical="center" wrapText="1"/>
    </xf>
    <xf borderId="1" fillId="2" fontId="12" numFmtId="0" xfId="0" applyAlignment="1" applyBorder="1" applyFont="1">
      <alignment shrinkToFit="0" vertical="center" wrapText="0"/>
    </xf>
    <xf borderId="1" fillId="2" fontId="13" numFmtId="49" xfId="0" applyAlignment="1" applyBorder="1" applyFont="1" applyNumberFormat="1">
      <alignment shrinkToFit="0" vertical="center" wrapText="1"/>
    </xf>
    <xf borderId="10" fillId="2" fontId="11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shrinkToFit="0" vertical="top" wrapText="1"/>
    </xf>
    <xf borderId="10" fillId="2" fontId="11" numFmtId="49" xfId="0" applyAlignment="1" applyBorder="1" applyFont="1" applyNumberFormat="1">
      <alignment horizontal="center" shrinkToFit="0" vertical="center" wrapText="1"/>
    </xf>
    <xf borderId="10" fillId="2" fontId="11" numFmtId="49" xfId="0" applyAlignment="1" applyBorder="1" applyFont="1" applyNumberFormat="1">
      <alignment readingOrder="0" shrinkToFit="0" vertical="center" wrapText="1"/>
    </xf>
    <xf borderId="10" fillId="2" fontId="14" numFmtId="0" xfId="0" applyAlignment="1" applyBorder="1" applyFont="1">
      <alignment shrinkToFit="0" vertical="center" wrapText="0"/>
    </xf>
    <xf borderId="10" fillId="2" fontId="11" numFmtId="0" xfId="0" applyAlignment="1" applyBorder="1" applyFont="1">
      <alignment horizontal="center" shrinkToFit="0" vertical="center" wrapText="0"/>
    </xf>
    <xf borderId="10" fillId="2" fontId="10" numFmtId="0" xfId="0" applyAlignment="1" applyBorder="1" applyFont="1">
      <alignment shrinkToFit="0" vertical="center" wrapText="0"/>
    </xf>
    <xf borderId="10" fillId="2" fontId="11" numFmtId="0" xfId="0" applyAlignment="1" applyBorder="1" applyFont="1">
      <alignment horizontal="center" shrinkToFit="0" vertical="center" wrapText="0"/>
    </xf>
    <xf borderId="10" fillId="2" fontId="10" numFmtId="0" xfId="0" applyAlignment="1" applyBorder="1" applyFont="1">
      <alignment shrinkToFit="0" vertical="center" wrapText="0"/>
    </xf>
    <xf borderId="10" fillId="2" fontId="10" numFmtId="0" xfId="0" applyAlignment="1" applyBorder="1" applyFont="1">
      <alignment shrinkToFit="0" vertical="center" wrapText="0"/>
    </xf>
    <xf borderId="9" fillId="3" fontId="11" numFmtId="49" xfId="0" applyAlignment="1" applyBorder="1" applyFill="1" applyFont="1" applyNumberFormat="1">
      <alignment shrinkToFit="0" vertical="center" wrapText="1"/>
    </xf>
    <xf borderId="11" fillId="3" fontId="12" numFmtId="0" xfId="0" applyAlignment="1" applyBorder="1" applyFont="1">
      <alignment shrinkToFit="0" vertical="center" wrapText="0"/>
    </xf>
    <xf borderId="10" fillId="3" fontId="11" numFmtId="49" xfId="0" applyAlignment="1" applyBorder="1" applyFont="1" applyNumberFormat="1">
      <alignment shrinkToFit="0" vertical="center" wrapText="1"/>
    </xf>
    <xf borderId="10" fillId="3" fontId="11" numFmtId="0" xfId="0" applyAlignment="1" applyBorder="1" applyFont="1">
      <alignment horizontal="center" shrinkToFit="0" vertical="center" wrapText="1"/>
    </xf>
    <xf borderId="10" fillId="3" fontId="11" numFmtId="0" xfId="0" applyAlignment="1" applyBorder="1" applyFont="1">
      <alignment shrinkToFit="0" vertical="center" wrapText="1"/>
    </xf>
    <xf borderId="10" fillId="3" fontId="15" numFmtId="0" xfId="0" applyAlignment="1" applyBorder="1" applyFont="1">
      <alignment shrinkToFit="0" vertical="center" wrapText="0"/>
    </xf>
    <xf borderId="10" fillId="3" fontId="11" numFmtId="0" xfId="0" applyAlignment="1" applyBorder="1" applyFont="1">
      <alignment horizontal="center" shrinkToFit="0" vertical="center" wrapText="0"/>
    </xf>
    <xf borderId="10" fillId="3" fontId="10" numFmtId="0" xfId="0" applyAlignment="1" applyBorder="1" applyFont="1">
      <alignment shrinkToFit="0" vertical="center" wrapText="0"/>
    </xf>
    <xf borderId="10" fillId="3" fontId="10" numFmtId="0" xfId="0" applyAlignment="1" applyBorder="1" applyFont="1">
      <alignment shrinkToFit="0" vertical="center" wrapText="0"/>
    </xf>
    <xf borderId="10" fillId="3" fontId="10" numFmtId="0" xfId="0" applyAlignment="1" applyBorder="1" applyFont="1">
      <alignment shrinkToFit="0" vertical="center" wrapText="0"/>
    </xf>
    <xf borderId="10" fillId="3" fontId="10" numFmtId="0" xfId="0" applyAlignment="1" applyBorder="1" applyFont="1">
      <alignment shrinkToFit="0" vertical="center" wrapText="0"/>
    </xf>
    <xf borderId="10" fillId="2" fontId="11" numFmtId="0" xfId="0" applyAlignment="1" applyBorder="1" applyFont="1">
      <alignment shrinkToFit="0" vertical="center" wrapText="1"/>
    </xf>
    <xf borderId="10" fillId="2" fontId="11" numFmtId="49" xfId="0" applyAlignment="1" applyBorder="1" applyFont="1" applyNumberFormat="1">
      <alignment shrinkToFit="0" vertical="center" wrapText="1"/>
    </xf>
    <xf borderId="10" fillId="2" fontId="16" numFmtId="0" xfId="0" applyAlignment="1" applyBorder="1" applyFont="1">
      <alignment shrinkToFit="0" vertical="center" wrapText="0"/>
    </xf>
    <xf borderId="10" fillId="2" fontId="14" numFmtId="0" xfId="0" applyAlignment="1" applyBorder="1" applyFont="1">
      <alignment shrinkToFit="0" vertical="center" wrapText="0"/>
    </xf>
    <xf borderId="10" fillId="2" fontId="10" numFmtId="0" xfId="0" applyAlignment="1" applyBorder="1" applyFont="1">
      <alignment readingOrder="0" shrinkToFit="0" vertical="center" wrapText="0"/>
    </xf>
    <xf borderId="10" fillId="3" fontId="17" numFmtId="0" xfId="0" applyAlignment="1" applyBorder="1" applyFont="1">
      <alignment shrinkToFit="0" vertical="center" wrapText="0"/>
    </xf>
    <xf borderId="10" fillId="3" fontId="11" numFmtId="0" xfId="0" applyAlignment="1" applyBorder="1" applyFont="1">
      <alignment horizontal="center" shrinkToFit="0" vertical="center" wrapText="0"/>
    </xf>
    <xf borderId="10" fillId="2" fontId="18" numFmtId="0" xfId="0" applyAlignment="1" applyBorder="1" applyFont="1">
      <alignment shrinkToFit="0" vertical="center" wrapText="0"/>
    </xf>
    <xf borderId="10" fillId="3" fontId="19" numFmtId="0" xfId="0" applyAlignment="1" applyBorder="1" applyFont="1">
      <alignment shrinkToFit="0" vertical="center" wrapText="0"/>
    </xf>
    <xf borderId="10" fillId="3" fontId="15" numFmtId="0" xfId="0" applyAlignment="1" applyBorder="1" applyFont="1">
      <alignment shrinkToFit="0" vertical="center" wrapText="0"/>
    </xf>
    <xf borderId="10" fillId="3" fontId="10" numFmtId="0" xfId="0" applyAlignment="1" applyBorder="1" applyFont="1">
      <alignment readingOrder="0" shrinkToFit="0" vertical="center" wrapText="0"/>
    </xf>
    <xf borderId="1" fillId="2" fontId="13" numFmtId="0" xfId="0" applyAlignment="1" applyBorder="1" applyFont="1">
      <alignment shrinkToFit="0" vertical="center" wrapText="1"/>
    </xf>
    <xf borderId="11" fillId="3" fontId="13" numFmtId="0" xfId="0" applyAlignment="1" applyBorder="1" applyFont="1">
      <alignment shrinkToFit="0" vertical="center" wrapText="1"/>
    </xf>
    <xf borderId="6" fillId="0" fontId="2" numFmtId="49" xfId="0" applyAlignment="1" applyBorder="1" applyFont="1" applyNumberFormat="1">
      <alignment horizontal="left" readingOrder="0" shrinkToFit="0" wrapText="0"/>
    </xf>
    <xf borderId="12" fillId="0" fontId="1" numFmtId="49" xfId="0" applyAlignment="1" applyBorder="1" applyFont="1" applyNumberFormat="1">
      <alignment horizontal="left" readingOrder="0" shrinkToFit="0" vertical="center" wrapText="1"/>
    </xf>
    <xf borderId="12" fillId="0" fontId="20" numFmtId="0" xfId="0" applyAlignment="1" applyBorder="1" applyFont="1">
      <alignment readingOrder="0" shrinkToFit="0" vertical="center" wrapText="0"/>
    </xf>
    <xf borderId="12" fillId="0" fontId="21" numFmtId="49" xfId="0" applyAlignment="1" applyBorder="1" applyFont="1" applyNumberFormat="1">
      <alignment readingOrder="0" shrinkToFit="0" vertical="center" wrapText="1"/>
    </xf>
    <xf borderId="12" fillId="0" fontId="1" numFmtId="0" xfId="0" applyAlignment="1" applyBorder="1" applyFont="1">
      <alignment horizontal="center" readingOrder="0" shrinkToFit="0" vertical="center" wrapText="1"/>
    </xf>
    <xf borderId="12" fillId="0" fontId="20" numFmtId="49" xfId="0" applyAlignment="1" applyBorder="1" applyFont="1" applyNumberFormat="1">
      <alignment horizontal="left" readingOrder="0" shrinkToFit="0" vertical="top" wrapText="1"/>
    </xf>
    <xf borderId="12" fillId="0" fontId="1" numFmtId="49" xfId="0" applyAlignment="1" applyBorder="1" applyFont="1" applyNumberFormat="1">
      <alignment horizontal="center" readingOrder="0" shrinkToFit="0" vertical="center" wrapText="1"/>
    </xf>
    <xf borderId="12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horizontal="center" readingOrder="0" shrinkToFit="0" vertical="center" wrapText="0"/>
    </xf>
    <xf borderId="13" fillId="0" fontId="1" numFmtId="0" xfId="0" applyAlignment="1" applyBorder="1" applyFont="1">
      <alignment horizontal="center" readingOrder="0" shrinkToFit="0" vertical="center" wrapText="0"/>
    </xf>
    <xf borderId="10" fillId="0" fontId="1" numFmtId="0" xfId="0" applyAlignment="1" applyBorder="1" applyFont="1">
      <alignment horizontal="center"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horizontal="center"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2" fillId="0" fontId="21" numFmtId="0" xfId="0" applyAlignment="1" applyBorder="1" applyFont="1">
      <alignment readingOrder="0" shrinkToFit="0" vertical="center" wrapText="1"/>
    </xf>
    <xf borderId="12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9" fillId="2" fontId="11" numFmtId="49" xfId="0" applyAlignment="1" applyBorder="1" applyFont="1" applyNumberFormat="1">
      <alignment shrinkToFit="0" vertical="center" wrapText="1"/>
    </xf>
    <xf borderId="10" fillId="2" fontId="11" numFmtId="0" xfId="0" applyAlignment="1" applyBorder="1" applyFont="1">
      <alignment shrinkToFit="0" vertical="center" wrapText="1"/>
    </xf>
    <xf borderId="10" fillId="2" fontId="14" numFmtId="0" xfId="0" applyAlignment="1" applyBorder="1" applyFont="1">
      <alignment shrinkToFit="0" vertical="center" wrapText="0"/>
    </xf>
    <xf borderId="10" fillId="2" fontId="11" numFmtId="0" xfId="0" applyAlignment="1" applyBorder="1" applyFont="1">
      <alignment horizontal="center" shrinkToFit="0" vertical="center" wrapText="0"/>
    </xf>
    <xf borderId="10" fillId="2" fontId="22" numFmtId="0" xfId="0" applyAlignment="1" applyBorder="1" applyFont="1">
      <alignment shrinkToFit="0" vertical="center" wrapText="0"/>
    </xf>
    <xf borderId="10" fillId="2" fontId="11" numFmtId="0" xfId="0" applyAlignment="1" applyBorder="1" applyFont="1">
      <alignment shrinkToFit="0" vertical="center" wrapText="0"/>
    </xf>
    <xf borderId="9" fillId="3" fontId="11" numFmtId="49" xfId="0" applyAlignment="1" applyBorder="1" applyFont="1" applyNumberFormat="1">
      <alignment shrinkToFit="0" vertical="center" wrapText="1"/>
    </xf>
    <xf borderId="10" fillId="3" fontId="11" numFmtId="0" xfId="0" applyAlignment="1" applyBorder="1" applyFont="1">
      <alignment shrinkToFit="0" vertical="center" wrapText="1"/>
    </xf>
    <xf borderId="10" fillId="3" fontId="15" numFmtId="0" xfId="0" applyAlignment="1" applyBorder="1" applyFont="1">
      <alignment shrinkToFit="0" vertical="center" wrapText="0"/>
    </xf>
    <xf borderId="10" fillId="3" fontId="11" numFmtId="0" xfId="0" applyAlignment="1" applyBorder="1" applyFont="1">
      <alignment horizontal="center" shrinkToFit="0" vertical="center" wrapText="0"/>
    </xf>
    <xf borderId="10" fillId="3" fontId="22" numFmtId="0" xfId="0" applyAlignment="1" applyBorder="1" applyFont="1">
      <alignment shrinkToFit="0" vertical="center" wrapText="0"/>
    </xf>
    <xf borderId="10" fillId="3" fontId="11" numFmtId="0" xfId="0" applyAlignment="1" applyBorder="1" applyFont="1">
      <alignment shrinkToFit="0" vertical="center" wrapText="0"/>
    </xf>
    <xf borderId="10" fillId="2" fontId="17" numFmtId="0" xfId="0" applyAlignment="1" applyBorder="1" applyFont="1">
      <alignment shrinkToFit="0" vertical="center" wrapText="0"/>
    </xf>
    <xf borderId="10" fillId="2" fontId="10" numFmtId="0" xfId="0" applyAlignment="1" applyBorder="1" applyFont="1">
      <alignment shrinkToFit="0" vertical="center" wrapText="0"/>
    </xf>
    <xf borderId="10" fillId="3" fontId="14" numFmtId="0" xfId="0" applyAlignment="1" applyBorder="1" applyFont="1">
      <alignment shrinkToFit="0" vertical="center" wrapText="0"/>
    </xf>
    <xf borderId="10" fillId="2" fontId="18" numFmtId="0" xfId="0" applyAlignment="1" applyBorder="1" applyFont="1">
      <alignment shrinkToFit="0" vertical="center" wrapText="0"/>
    </xf>
    <xf borderId="10" fillId="3" fontId="14" numFmtId="0" xfId="0" applyAlignment="1" applyBorder="1" applyFont="1">
      <alignment shrinkToFit="0" vertical="center" wrapText="0"/>
    </xf>
    <xf borderId="10" fillId="3" fontId="11" numFmtId="0" xfId="0" applyAlignment="1" applyBorder="1" applyFont="1">
      <alignment shrinkToFit="0" vertical="center" wrapText="0"/>
    </xf>
    <xf borderId="10" fillId="2" fontId="15" numFmtId="0" xfId="0" applyAlignment="1" applyBorder="1" applyFont="1">
      <alignment shrinkToFit="0" vertical="center" wrapText="0"/>
    </xf>
    <xf borderId="10" fillId="3" fontId="17" numFmtId="0" xfId="0" applyAlignment="1" applyBorder="1" applyFont="1">
      <alignment shrinkToFit="0" vertical="center" wrapText="0"/>
    </xf>
    <xf borderId="10" fillId="2" fontId="15" numFmtId="0" xfId="0" applyAlignment="1" applyBorder="1" applyFont="1">
      <alignment shrinkToFit="0" vertical="center" wrapText="0"/>
    </xf>
    <xf borderId="10" fillId="3" fontId="18" numFmtId="0" xfId="0" applyAlignment="1" applyBorder="1" applyFont="1">
      <alignment shrinkToFit="0" vertical="center" wrapText="0"/>
    </xf>
    <xf borderId="10" fillId="3" fontId="11" numFmtId="49" xfId="0" applyAlignment="1" applyBorder="1" applyFont="1" applyNumberFormat="1">
      <alignment readingOrder="0" shrinkToFit="0" vertical="center" wrapText="1"/>
    </xf>
    <xf borderId="10" fillId="2" fontId="11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Unidade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dade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dade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dade 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8:T20" displayName="Unidade_1__4" name="Unidade_1__4" id="1">
  <tableColumns count="19">
    <tableColumn name="Nº Capítulo" id="1"/>
    <tableColumn name="Nome Capítulo" id="2"/>
    <tableColumn name="Conteúdo (resumo)" id="3"/>
    <tableColumn name="Nº Objetivo Educacional" id="4"/>
    <tableColumn name="Objetivo Educacional" id="5"/>
    <tableColumn name="Nível (TRB)" id="6"/>
    <tableColumn name="Papéis e atores" id="7"/>
    <tableColumn name="Objetos de Aprendizagem" id="8"/>
    <tableColumn name="Nº Objetos de Aprendizagem" id="9"/>
    <tableColumn name="CH Síncrona (min)" id="10"/>
    <tableColumn name="CH Assíncrona  (min)" id="11"/>
    <tableColumn name="Período (dias)" id="12"/>
    <tableColumn name="Ferramentas" id="13"/>
    <tableColumn name="Atividade Formativa" id="14"/>
    <tableColumn name="Atividade Somativa" id="15"/>
    <tableColumn name="CH Atividades (min)" id="16"/>
    <tableColumn name="Atividade Pontuação" id="17"/>
    <tableColumn name="Feedback" id="18"/>
    <tableColumn name="Column 19" id="19"/>
  </tableColumns>
  <tableStyleInfo name="Unidade 1-style" showColumnStripes="0" showFirstColumn="1" showLastColumn="1" showRowStripes="1"/>
</table>
</file>

<file path=xl/tables/table2.xml><?xml version="1.0" encoding="utf-8"?>
<table xmlns="http://schemas.openxmlformats.org/spreadsheetml/2006/main" ref="B8:S22" displayName="Unidade_1__9" name="Unidade_1__9" id="2">
  <tableColumns count="18">
    <tableColumn name="Nº Capítulo" id="1"/>
    <tableColumn name="Nome Capítulo" id="2"/>
    <tableColumn name="Conteúdo (resumo)" id="3"/>
    <tableColumn name="Nº Objetivo Educacional" id="4"/>
    <tableColumn name="Objetivo Educacional" id="5"/>
    <tableColumn name="Nível (TRB)" id="6"/>
    <tableColumn name="Papéis e atores" id="7"/>
    <tableColumn name="Objetos de Aprendizagem" id="8"/>
    <tableColumn name="Nº Objetos de Aprendizagem" id="9"/>
    <tableColumn name="CH Síncrona (min)" id="10"/>
    <tableColumn name="CH Assíncrona  (min)" id="11"/>
    <tableColumn name="Período (dias)" id="12"/>
    <tableColumn name="Ferramentas" id="13"/>
    <tableColumn name="Atividade Formativa" id="14"/>
    <tableColumn name="Atividade Somativa" id="15"/>
    <tableColumn name="CH Atividades (min)" id="16"/>
    <tableColumn name="Atividade Pontuação" id="17"/>
    <tableColumn name="Feedback" id="18"/>
  </tableColumns>
  <tableStyleInfo name="Unidade 2-style" showColumnStripes="0" showFirstColumn="1" showLastColumn="1" showRowStripes="1"/>
</table>
</file>

<file path=xl/tables/table3.xml><?xml version="1.0" encoding="utf-8"?>
<table xmlns="http://schemas.openxmlformats.org/spreadsheetml/2006/main" ref="B8:S23" displayName="Unidade_1__8" name="Unidade_1__8" id="3">
  <tableColumns count="18">
    <tableColumn name="Nº Capítulo" id="1"/>
    <tableColumn name="Nome Capítulo" id="2"/>
    <tableColumn name="Conteúdo (resumo)" id="3"/>
    <tableColumn name="Nº Objetivo Educacional" id="4"/>
    <tableColumn name="Objetivo Educacional" id="5"/>
    <tableColumn name="Nível (TRB)" id="6"/>
    <tableColumn name="Papéis e atores" id="7"/>
    <tableColumn name="Objetos de Aprendizagem" id="8"/>
    <tableColumn name="Nº Objetos de Aprendizagem" id="9"/>
    <tableColumn name="CH Síncrona (min)" id="10"/>
    <tableColumn name="CH Assíncrona  (min)" id="11"/>
    <tableColumn name="Período (dias)" id="12"/>
    <tableColumn name="Ferramentas" id="13"/>
    <tableColumn name="Atividade Formativa" id="14"/>
    <tableColumn name="Atividade Somativa" id="15"/>
    <tableColumn name="CH Atividades (min)" id="16"/>
    <tableColumn name="Atividade Pontuação" id="17"/>
    <tableColumn name="Feedback" id="18"/>
  </tableColumns>
  <tableStyleInfo name="Unidade 3-style" showColumnStripes="0" showFirstColumn="1" showLastColumn="1" showRowStripes="1"/>
</table>
</file>

<file path=xl/tables/table4.xml><?xml version="1.0" encoding="utf-8"?>
<table xmlns="http://schemas.openxmlformats.org/spreadsheetml/2006/main" ref="B8:S28" displayName="Unidade_1__7" name="Unidade_1__7" id="4">
  <tableColumns count="18">
    <tableColumn name="Nº Capítulo" id="1"/>
    <tableColumn name="Nome Capítulo" id="2"/>
    <tableColumn name="Conteúdo (resumo)" id="3"/>
    <tableColumn name="Nº Objetivo Educacional" id="4"/>
    <tableColumn name="Objetivo Educacional" id="5"/>
    <tableColumn name="Nível (TRB)" id="6"/>
    <tableColumn name="Papéis e atores" id="7"/>
    <tableColumn name="Objetos de Aprendizagem" id="8"/>
    <tableColumn name="Nº Objetos de Aprendizagem" id="9"/>
    <tableColumn name="CH Síncrona (min)" id="10"/>
    <tableColumn name="CH Assíncrona  (min)" id="11"/>
    <tableColumn name="Período (dias)" id="12"/>
    <tableColumn name="Ferramentas" id="13"/>
    <tableColumn name="Atividade Formativa" id="14"/>
    <tableColumn name="Atividade Somativa" id="15"/>
    <tableColumn name="CH Atividades (min)" id="16"/>
    <tableColumn name="Atividade Pontuação" id="17"/>
    <tableColumn name="Feedback" id="18"/>
  </tableColumns>
  <tableStyleInfo name="Unidade 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75"/>
  <cols>
    <col customWidth="1" min="1" max="1" width="11.75"/>
    <col customWidth="1" min="2" max="2" width="17.25"/>
    <col customWidth="1" min="3" max="3" width="33.75"/>
    <col customWidth="1" min="4" max="4" width="41.63"/>
    <col customWidth="1" min="5" max="5" width="14.5"/>
    <col customWidth="1" min="6" max="6" width="40.88"/>
    <col customWidth="1" min="7" max="7" width="22.13"/>
    <col customWidth="1" min="8" max="8" width="42.38"/>
    <col customWidth="1" min="9" max="9" width="24.88"/>
    <col customWidth="1" min="10" max="10" width="30.75"/>
    <col customWidth="1" min="11" max="11" width="37.63"/>
    <col customWidth="1" min="12" max="12" width="29.0"/>
    <col customWidth="1" min="13" max="13" width="30.25"/>
    <col customWidth="1" min="14" max="14" width="25.88"/>
    <col customWidth="1" min="15" max="16" width="26.5"/>
    <col customWidth="1" min="17" max="17" width="24.25"/>
    <col customWidth="1" min="18" max="18" width="28.38"/>
    <col customWidth="1" min="19" max="20" width="46.13"/>
  </cols>
  <sheetData>
    <row r="1">
      <c r="A1" s="1"/>
      <c r="B1" s="2"/>
      <c r="C1" s="3"/>
      <c r="D1" s="4"/>
      <c r="E1" s="4"/>
      <c r="F1" s="4"/>
      <c r="G1" s="5"/>
      <c r="H1" s="4"/>
      <c r="I1" s="4"/>
      <c r="J1" s="4"/>
      <c r="K1" s="4"/>
      <c r="L1" s="5"/>
      <c r="M1" s="6"/>
      <c r="N1" s="6"/>
      <c r="O1" s="6"/>
      <c r="P1" s="6"/>
      <c r="Q1" s="6"/>
      <c r="R1" s="5"/>
      <c r="S1" s="5"/>
      <c r="T1" s="7"/>
    </row>
    <row r="2" ht="21.75" customHeight="1">
      <c r="B2" s="8" t="s">
        <v>0</v>
      </c>
      <c r="C2" s="3"/>
      <c r="D2" s="9" t="s">
        <v>1</v>
      </c>
      <c r="E2" s="10">
        <f>(SUM(K:K)/60/24)</f>
        <v>0</v>
      </c>
      <c r="F2" s="11" t="s">
        <v>2</v>
      </c>
      <c r="H2" s="4"/>
      <c r="I2" s="5"/>
      <c r="J2" s="6"/>
      <c r="K2" s="6"/>
      <c r="L2" s="6"/>
      <c r="M2" s="6"/>
      <c r="N2" s="6"/>
      <c r="O2" s="5"/>
      <c r="P2" s="5"/>
    </row>
    <row r="3">
      <c r="A3" s="4"/>
      <c r="B3" s="4"/>
      <c r="C3" s="4"/>
      <c r="D3" s="12" t="s">
        <v>3</v>
      </c>
      <c r="E3" s="10">
        <f>(SUM(L:L)/60/24)</f>
        <v>0.6111111111</v>
      </c>
      <c r="H3" s="4"/>
      <c r="I3" s="4"/>
      <c r="J3" s="4"/>
      <c r="K3" s="4"/>
      <c r="L3" s="5"/>
      <c r="M3" s="6"/>
      <c r="N3" s="6"/>
      <c r="O3" s="6"/>
      <c r="P3" s="6"/>
      <c r="Q3" s="6"/>
      <c r="R3" s="5"/>
      <c r="S3" s="5"/>
      <c r="T3" s="7"/>
    </row>
    <row r="4" ht="18.75" customHeight="1">
      <c r="A4" s="1"/>
      <c r="B4" s="13" t="s">
        <v>4</v>
      </c>
      <c r="C4" s="14"/>
      <c r="D4" s="15" t="s">
        <v>5</v>
      </c>
      <c r="E4" s="10">
        <f>(SUM(Q:Q)/60/24)</f>
        <v>0.25</v>
      </c>
      <c r="H4" s="4"/>
      <c r="I4" s="4"/>
      <c r="J4" s="4"/>
      <c r="K4" s="4"/>
      <c r="L4" s="5"/>
      <c r="M4" s="6"/>
      <c r="N4" s="6"/>
      <c r="O4" s="6"/>
      <c r="P4" s="6"/>
      <c r="Q4" s="6"/>
      <c r="R4" s="5"/>
      <c r="S4" s="5"/>
      <c r="T4" s="7"/>
    </row>
    <row r="5">
      <c r="A5" s="1"/>
      <c r="B5" s="13" t="s">
        <v>6</v>
      </c>
      <c r="C5" s="14"/>
      <c r="D5" s="12" t="s">
        <v>7</v>
      </c>
      <c r="E5" s="16">
        <f>SUM(E2:E4)</f>
        <v>0.8611111111</v>
      </c>
      <c r="H5" s="4"/>
      <c r="I5" s="4"/>
      <c r="J5" s="4"/>
      <c r="K5" s="4"/>
      <c r="L5" s="5"/>
      <c r="M5" s="6"/>
      <c r="N5" s="6"/>
      <c r="O5" s="6"/>
      <c r="P5" s="6"/>
      <c r="Q5" s="6"/>
      <c r="R5" s="5"/>
      <c r="S5" s="5"/>
      <c r="T5" s="7"/>
    </row>
    <row r="6">
      <c r="A6" s="1"/>
      <c r="B6" s="2"/>
      <c r="C6" s="3"/>
      <c r="D6" s="4"/>
      <c r="E6" s="4"/>
      <c r="F6" s="4"/>
      <c r="G6" s="5"/>
      <c r="H6" s="4"/>
      <c r="I6" s="4"/>
      <c r="J6" s="4"/>
      <c r="K6" s="4"/>
      <c r="L6" s="5"/>
      <c r="M6" s="6"/>
      <c r="N6" s="6"/>
      <c r="O6" s="6"/>
      <c r="P6" s="6"/>
      <c r="Q6" s="6"/>
      <c r="R6" s="5"/>
      <c r="S6" s="5"/>
      <c r="T6" s="7"/>
    </row>
    <row r="7" ht="26.25" customHeight="1">
      <c r="A7" s="17"/>
      <c r="B7" s="17"/>
      <c r="C7" s="4"/>
      <c r="D7" s="4"/>
      <c r="E7" s="4"/>
      <c r="F7" s="18"/>
      <c r="G7" s="19"/>
      <c r="H7" s="14"/>
      <c r="I7" s="4"/>
      <c r="J7" s="4"/>
      <c r="K7" s="4"/>
      <c r="L7" s="5"/>
      <c r="M7" s="6"/>
      <c r="N7" s="6"/>
      <c r="O7" s="6"/>
      <c r="P7" s="6"/>
      <c r="Q7" s="6"/>
      <c r="R7" s="5"/>
      <c r="S7" s="5"/>
      <c r="T7" s="7"/>
    </row>
    <row r="8" ht="18.0" customHeight="1">
      <c r="A8" s="17"/>
      <c r="B8" s="20" t="s">
        <v>8</v>
      </c>
      <c r="C8" s="20" t="s">
        <v>9</v>
      </c>
      <c r="D8" s="20" t="s">
        <v>10</v>
      </c>
      <c r="E8" s="20" t="s">
        <v>11</v>
      </c>
      <c r="F8" s="20" t="s">
        <v>12</v>
      </c>
      <c r="G8" s="20" t="s">
        <v>13</v>
      </c>
      <c r="H8" s="20" t="s">
        <v>14</v>
      </c>
      <c r="I8" s="21" t="s">
        <v>15</v>
      </c>
      <c r="J8" s="22" t="s">
        <v>16</v>
      </c>
      <c r="K8" s="22" t="s">
        <v>17</v>
      </c>
      <c r="L8" s="22" t="s">
        <v>18</v>
      </c>
      <c r="M8" s="22" t="s">
        <v>19</v>
      </c>
      <c r="N8" s="22" t="s">
        <v>20</v>
      </c>
      <c r="O8" s="21" t="s">
        <v>21</v>
      </c>
      <c r="P8" s="21" t="s">
        <v>22</v>
      </c>
      <c r="Q8" s="22" t="s">
        <v>23</v>
      </c>
      <c r="R8" s="21" t="s">
        <v>24</v>
      </c>
      <c r="S8" s="21" t="s">
        <v>25</v>
      </c>
      <c r="T8" s="21" t="s">
        <v>26</v>
      </c>
    </row>
    <row r="9" ht="73.5" customHeight="1">
      <c r="A9" s="23"/>
      <c r="B9" s="24" t="s">
        <v>27</v>
      </c>
      <c r="C9" s="25" t="s">
        <v>28</v>
      </c>
      <c r="D9" s="26" t="s">
        <v>29</v>
      </c>
      <c r="E9" s="27">
        <v>2.0</v>
      </c>
      <c r="F9" s="28" t="s">
        <v>30</v>
      </c>
      <c r="G9" s="29" t="s">
        <v>31</v>
      </c>
      <c r="H9" s="30" t="s">
        <v>32</v>
      </c>
      <c r="I9" s="31" t="s">
        <v>33</v>
      </c>
      <c r="J9" s="32">
        <v>3.0</v>
      </c>
      <c r="K9" s="33"/>
      <c r="L9" s="34">
        <v>90.0</v>
      </c>
      <c r="M9" s="35"/>
      <c r="N9" s="35"/>
      <c r="O9" s="36"/>
      <c r="P9" s="36"/>
      <c r="Q9" s="35"/>
      <c r="R9" s="35"/>
      <c r="S9" s="35"/>
      <c r="T9" s="35"/>
    </row>
    <row r="10" ht="22.5" customHeight="1">
      <c r="A10" s="23"/>
      <c r="B10" s="37" t="s">
        <v>27</v>
      </c>
      <c r="C10" s="38" t="s">
        <v>28</v>
      </c>
      <c r="D10" s="39" t="s">
        <v>34</v>
      </c>
      <c r="E10" s="40">
        <v>2.0</v>
      </c>
      <c r="F10" s="41" t="s">
        <v>34</v>
      </c>
      <c r="G10" s="39" t="s">
        <v>34</v>
      </c>
      <c r="H10" s="39" t="s">
        <v>34</v>
      </c>
      <c r="I10" s="42" t="s">
        <v>35</v>
      </c>
      <c r="J10" s="43">
        <v>3.0</v>
      </c>
      <c r="K10" s="44"/>
      <c r="L10" s="45"/>
      <c r="M10" s="45"/>
      <c r="N10" s="45"/>
      <c r="O10" s="46"/>
      <c r="P10" s="46"/>
      <c r="Q10" s="47"/>
      <c r="R10" s="45"/>
      <c r="S10" s="45"/>
      <c r="T10" s="45"/>
    </row>
    <row r="11" ht="22.5" customHeight="1">
      <c r="A11" s="23"/>
      <c r="B11" s="24" t="s">
        <v>27</v>
      </c>
      <c r="C11" s="25" t="s">
        <v>28</v>
      </c>
      <c r="D11" s="26" t="s">
        <v>34</v>
      </c>
      <c r="E11" s="27">
        <v>3.0</v>
      </c>
      <c r="F11" s="48" t="s">
        <v>34</v>
      </c>
      <c r="G11" s="29" t="s">
        <v>31</v>
      </c>
      <c r="H11" s="49" t="s">
        <v>36</v>
      </c>
      <c r="I11" s="50" t="s">
        <v>37</v>
      </c>
      <c r="J11" s="32">
        <v>1.0</v>
      </c>
      <c r="K11" s="33"/>
      <c r="L11" s="34">
        <v>60.0</v>
      </c>
      <c r="M11" s="35"/>
      <c r="N11" s="35"/>
      <c r="O11" s="51" t="s">
        <v>37</v>
      </c>
      <c r="P11" s="36"/>
      <c r="Q11" s="52">
        <v>60.0</v>
      </c>
      <c r="R11" s="35"/>
      <c r="S11" s="35"/>
      <c r="T11" s="35"/>
    </row>
    <row r="12" ht="22.5" customHeight="1">
      <c r="A12" s="23"/>
      <c r="B12" s="37" t="s">
        <v>27</v>
      </c>
      <c r="C12" s="38" t="s">
        <v>28</v>
      </c>
      <c r="D12" s="39" t="s">
        <v>34</v>
      </c>
      <c r="E12" s="40">
        <v>2.0</v>
      </c>
      <c r="F12" s="41" t="s">
        <v>34</v>
      </c>
      <c r="G12" s="39" t="s">
        <v>34</v>
      </c>
      <c r="H12" s="39" t="s">
        <v>34</v>
      </c>
      <c r="I12" s="53" t="s">
        <v>38</v>
      </c>
      <c r="J12" s="43">
        <v>1.0</v>
      </c>
      <c r="K12" s="44"/>
      <c r="L12" s="54">
        <v>120.0</v>
      </c>
      <c r="M12" s="45"/>
      <c r="N12" s="45"/>
      <c r="O12" s="46"/>
      <c r="P12" s="46"/>
      <c r="Q12" s="45"/>
      <c r="R12" s="45"/>
      <c r="S12" s="45"/>
      <c r="T12" s="45"/>
    </row>
    <row r="13" ht="45.75" customHeight="1">
      <c r="A13" s="23"/>
      <c r="B13" s="24" t="s">
        <v>27</v>
      </c>
      <c r="C13" s="25" t="s">
        <v>28</v>
      </c>
      <c r="D13" s="49" t="s">
        <v>39</v>
      </c>
      <c r="E13" s="27">
        <v>2.0</v>
      </c>
      <c r="F13" s="48" t="s">
        <v>34</v>
      </c>
      <c r="G13" s="29" t="s">
        <v>31</v>
      </c>
      <c r="H13" s="49" t="s">
        <v>36</v>
      </c>
      <c r="I13" s="55" t="s">
        <v>40</v>
      </c>
      <c r="J13" s="32">
        <v>1.0</v>
      </c>
      <c r="K13" s="33"/>
      <c r="L13" s="34">
        <v>50.0</v>
      </c>
      <c r="M13" s="35"/>
      <c r="N13" s="35"/>
      <c r="O13" s="36"/>
      <c r="P13" s="36"/>
      <c r="Q13" s="35"/>
      <c r="R13" s="35"/>
      <c r="S13" s="35"/>
      <c r="T13" s="35"/>
    </row>
    <row r="14" ht="22.5" customHeight="1">
      <c r="A14" s="23"/>
      <c r="B14" s="37" t="s">
        <v>27</v>
      </c>
      <c r="C14" s="38" t="s">
        <v>28</v>
      </c>
      <c r="D14" s="39" t="s">
        <v>34</v>
      </c>
      <c r="E14" s="40">
        <v>3.0</v>
      </c>
      <c r="F14" s="41" t="s">
        <v>34</v>
      </c>
      <c r="G14" s="39" t="s">
        <v>34</v>
      </c>
      <c r="H14" s="39" t="s">
        <v>34</v>
      </c>
      <c r="I14" s="56" t="s">
        <v>41</v>
      </c>
      <c r="J14" s="43">
        <v>1.0</v>
      </c>
      <c r="K14" s="44"/>
      <c r="L14" s="54">
        <v>120.0</v>
      </c>
      <c r="M14" s="45"/>
      <c r="N14" s="45"/>
      <c r="O14" s="46"/>
      <c r="P14" s="57" t="s">
        <v>42</v>
      </c>
      <c r="Q14" s="58">
        <v>120.0</v>
      </c>
      <c r="R14" s="54">
        <v>10.0</v>
      </c>
      <c r="S14" s="45"/>
      <c r="T14" s="45"/>
    </row>
    <row r="15" ht="52.5" customHeight="1">
      <c r="A15" s="23"/>
      <c r="B15" s="24" t="s">
        <v>43</v>
      </c>
      <c r="C15" s="59" t="s">
        <v>44</v>
      </c>
      <c r="D15" s="49" t="s">
        <v>45</v>
      </c>
      <c r="E15" s="27">
        <v>2.0</v>
      </c>
      <c r="F15" s="48" t="s">
        <v>46</v>
      </c>
      <c r="G15" s="29" t="s">
        <v>31</v>
      </c>
      <c r="H15" s="49" t="s">
        <v>36</v>
      </c>
      <c r="I15" s="31" t="s">
        <v>33</v>
      </c>
      <c r="J15" s="32">
        <v>3.0</v>
      </c>
      <c r="K15" s="33"/>
      <c r="L15" s="34">
        <v>90.0</v>
      </c>
      <c r="M15" s="35"/>
      <c r="N15" s="35"/>
      <c r="O15" s="36"/>
      <c r="P15" s="36"/>
      <c r="Q15" s="35"/>
      <c r="R15" s="35"/>
      <c r="S15" s="35"/>
      <c r="T15" s="35"/>
    </row>
    <row r="16" ht="22.5" customHeight="1">
      <c r="A16" s="23"/>
      <c r="B16" s="37" t="s">
        <v>43</v>
      </c>
      <c r="C16" s="60" t="s">
        <v>44</v>
      </c>
      <c r="D16" s="39" t="s">
        <v>34</v>
      </c>
      <c r="E16" s="40">
        <v>2.0</v>
      </c>
      <c r="F16" s="41" t="s">
        <v>34</v>
      </c>
      <c r="G16" s="39" t="s">
        <v>34</v>
      </c>
      <c r="H16" s="39" t="s">
        <v>34</v>
      </c>
      <c r="I16" s="42" t="s">
        <v>35</v>
      </c>
      <c r="J16" s="43">
        <v>3.0</v>
      </c>
      <c r="K16" s="44"/>
      <c r="L16" s="45"/>
      <c r="M16" s="45"/>
      <c r="N16" s="45"/>
      <c r="O16" s="46"/>
      <c r="P16" s="46"/>
      <c r="Q16" s="45"/>
      <c r="R16" s="45"/>
      <c r="S16" s="45"/>
      <c r="T16" s="45"/>
    </row>
    <row r="17" ht="22.5" customHeight="1">
      <c r="A17" s="23"/>
      <c r="B17" s="24" t="s">
        <v>43</v>
      </c>
      <c r="C17" s="59" t="s">
        <v>44</v>
      </c>
      <c r="D17" s="49" t="s">
        <v>39</v>
      </c>
      <c r="E17" s="27">
        <v>3.0</v>
      </c>
      <c r="F17" s="48" t="s">
        <v>34</v>
      </c>
      <c r="G17" s="29" t="s">
        <v>31</v>
      </c>
      <c r="H17" s="49" t="s">
        <v>36</v>
      </c>
      <c r="I17" s="50" t="s">
        <v>37</v>
      </c>
      <c r="J17" s="32">
        <v>1.0</v>
      </c>
      <c r="K17" s="33"/>
      <c r="L17" s="34">
        <v>60.0</v>
      </c>
      <c r="M17" s="35"/>
      <c r="N17" s="35"/>
      <c r="O17" s="51" t="s">
        <v>37</v>
      </c>
      <c r="P17" s="36"/>
      <c r="Q17" s="52">
        <v>60.0</v>
      </c>
      <c r="R17" s="35"/>
      <c r="S17" s="35"/>
      <c r="T17" s="35"/>
    </row>
    <row r="18" ht="22.5" customHeight="1">
      <c r="A18" s="23"/>
      <c r="B18" s="37" t="s">
        <v>43</v>
      </c>
      <c r="C18" s="60" t="s">
        <v>44</v>
      </c>
      <c r="D18" s="39" t="s">
        <v>34</v>
      </c>
      <c r="E18" s="40">
        <v>2.0</v>
      </c>
      <c r="F18" s="41" t="s">
        <v>34</v>
      </c>
      <c r="G18" s="39" t="s">
        <v>34</v>
      </c>
      <c r="H18" s="39" t="s">
        <v>34</v>
      </c>
      <c r="I18" s="53" t="s">
        <v>38</v>
      </c>
      <c r="J18" s="43">
        <v>1.0</v>
      </c>
      <c r="K18" s="44"/>
      <c r="L18" s="54">
        <v>120.0</v>
      </c>
      <c r="M18" s="45"/>
      <c r="N18" s="45"/>
      <c r="O18" s="46"/>
      <c r="P18" s="46"/>
      <c r="Q18" s="45"/>
      <c r="R18" s="45"/>
      <c r="S18" s="45"/>
      <c r="T18" s="45"/>
    </row>
    <row r="19" ht="22.5" customHeight="1">
      <c r="A19" s="23"/>
      <c r="B19" s="24" t="s">
        <v>43</v>
      </c>
      <c r="C19" s="59" t="s">
        <v>44</v>
      </c>
      <c r="D19" s="49" t="s">
        <v>39</v>
      </c>
      <c r="E19" s="27">
        <v>2.0</v>
      </c>
      <c r="F19" s="48" t="s">
        <v>34</v>
      </c>
      <c r="G19" s="29" t="s">
        <v>31</v>
      </c>
      <c r="H19" s="49" t="s">
        <v>36</v>
      </c>
      <c r="I19" s="55" t="s">
        <v>40</v>
      </c>
      <c r="J19" s="32">
        <v>1.0</v>
      </c>
      <c r="K19" s="33"/>
      <c r="L19" s="34">
        <v>50.0</v>
      </c>
      <c r="M19" s="35"/>
      <c r="N19" s="35"/>
      <c r="O19" s="36"/>
      <c r="P19" s="36"/>
      <c r="Q19" s="35"/>
      <c r="R19" s="35"/>
      <c r="S19" s="35"/>
      <c r="T19" s="35"/>
    </row>
    <row r="20" ht="22.5" customHeight="1">
      <c r="A20" s="23"/>
      <c r="B20" s="37" t="s">
        <v>43</v>
      </c>
      <c r="C20" s="60" t="s">
        <v>44</v>
      </c>
      <c r="D20" s="39" t="s">
        <v>34</v>
      </c>
      <c r="E20" s="40">
        <v>3.0</v>
      </c>
      <c r="F20" s="41" t="s">
        <v>34</v>
      </c>
      <c r="G20" s="39" t="s">
        <v>34</v>
      </c>
      <c r="H20" s="39" t="s">
        <v>34</v>
      </c>
      <c r="I20" s="56" t="s">
        <v>41</v>
      </c>
      <c r="J20" s="43">
        <v>1.0</v>
      </c>
      <c r="K20" s="44"/>
      <c r="L20" s="54">
        <v>120.0</v>
      </c>
      <c r="M20" s="45"/>
      <c r="N20" s="45"/>
      <c r="O20" s="46"/>
      <c r="P20" s="57" t="s">
        <v>42</v>
      </c>
      <c r="Q20" s="58">
        <v>120.0</v>
      </c>
      <c r="R20" s="54">
        <v>10.0</v>
      </c>
      <c r="S20" s="45"/>
      <c r="T20" s="45"/>
    </row>
  </sheetData>
  <customSheetViews>
    <customSheetView guid="{B201EEE6-683A-45CE-962C-E553C6CF9E9A}" filter="1" showAutoFilter="1">
      <autoFilter ref="$B$8:$T$20"/>
    </customSheetView>
  </customSheetViews>
  <mergeCells count="7">
    <mergeCell ref="B1:C1"/>
    <mergeCell ref="B2:C2"/>
    <mergeCell ref="F2:G5"/>
    <mergeCell ref="B4:C4"/>
    <mergeCell ref="B5:C5"/>
    <mergeCell ref="B6:C6"/>
    <mergeCell ref="F7:H7"/>
  </mergeCells>
  <dataValidations>
    <dataValidation type="list" allowBlank="1" sqref="I9:I20">
      <formula1>"Roteiro de Vídeo,Slide,Plano de Aula,Fórum,Tarefa,PDF (avulso),Tela Interativa,Quiz,Ebook"</formula1>
    </dataValidation>
    <dataValidation type="custom" allowBlank="1" showDropDown="1" sqref="E9:E20 J9:K20">
      <formula1>AND(ISNUMBER(E9),(NOT(OR(NOT(ISERROR(DATEVALUE(E9))), AND(ISNUMBER(E9), LEFT(CELL("format", E9))="D")))))</formula1>
    </dataValidation>
    <dataValidation type="list" allowBlank="1" sqref="O9:P20">
      <formula1>"Não prevista,Quiz,Atividade Aberta,Genially,Portfólio (várias atividades),Idem"</formula1>
    </dataValidation>
    <dataValidation allowBlank="1" showDropDown="1" sqref="B9:B20 D9:D20 F9:H20"/>
  </dataValidations>
  <printOptions gridLines="1" horizontalCentered="1"/>
  <pageMargins bottom="0.75" footer="0.0" header="0.0" left="0.0" right="0.1148411136107986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75"/>
  <cols>
    <col customWidth="1" min="1" max="1" width="11.75"/>
    <col customWidth="1" min="2" max="2" width="17.25"/>
    <col customWidth="1" min="3" max="3" width="33.75"/>
    <col customWidth="1" min="4" max="4" width="41.63"/>
    <col customWidth="1" min="5" max="5" width="14.5"/>
    <col customWidth="1" min="6" max="6" width="40.88"/>
    <col customWidth="1" min="7" max="7" width="22.13"/>
    <col customWidth="1" min="8" max="8" width="42.38"/>
    <col customWidth="1" min="9" max="9" width="24.88"/>
    <col customWidth="1" min="10" max="10" width="30.75"/>
    <col customWidth="1" min="11" max="11" width="37.63"/>
    <col customWidth="1" min="12" max="12" width="29.0"/>
    <col customWidth="1" min="13" max="13" width="30.25"/>
    <col customWidth="1" min="14" max="14" width="25.88"/>
    <col customWidth="1" min="15" max="16" width="26.5"/>
    <col customWidth="1" min="17" max="17" width="24.25"/>
    <col customWidth="1" min="18" max="18" width="28.38"/>
    <col customWidth="1" min="19" max="19" width="46.13"/>
  </cols>
  <sheetData>
    <row r="1">
      <c r="A1" s="1"/>
      <c r="B1" s="2"/>
      <c r="C1" s="3"/>
      <c r="D1" s="4"/>
      <c r="E1" s="4"/>
      <c r="F1" s="4"/>
      <c r="G1" s="5"/>
      <c r="H1" s="4"/>
      <c r="I1" s="4"/>
      <c r="J1" s="4"/>
      <c r="K1" s="4"/>
      <c r="L1" s="5"/>
      <c r="M1" s="6"/>
      <c r="N1" s="6"/>
      <c r="O1" s="6"/>
      <c r="P1" s="6"/>
      <c r="Q1" s="6"/>
      <c r="R1" s="5"/>
      <c r="S1" s="5"/>
    </row>
    <row r="2" ht="21.75" customHeight="1">
      <c r="B2" s="8" t="s">
        <v>0</v>
      </c>
      <c r="C2" s="3"/>
      <c r="D2" s="9" t="s">
        <v>1</v>
      </c>
      <c r="E2" s="10">
        <f>(SUM(K:K)/60/24)</f>
        <v>0.375</v>
      </c>
      <c r="F2" s="11" t="s">
        <v>47</v>
      </c>
      <c r="H2" s="4"/>
      <c r="I2" s="5"/>
      <c r="J2" s="6"/>
      <c r="K2" s="6"/>
      <c r="L2" s="6"/>
      <c r="M2" s="6"/>
      <c r="N2" s="6"/>
      <c r="O2" s="5"/>
      <c r="P2" s="5"/>
    </row>
    <row r="3">
      <c r="A3" s="4"/>
      <c r="B3" s="4"/>
      <c r="C3" s="4"/>
      <c r="D3" s="12" t="s">
        <v>3</v>
      </c>
      <c r="E3" s="10">
        <f>(SUM(L:L)/60/24)</f>
        <v>1.291666667</v>
      </c>
      <c r="H3" s="4"/>
      <c r="I3" s="4"/>
      <c r="J3" s="4"/>
      <c r="K3" s="4"/>
      <c r="L3" s="5"/>
      <c r="M3" s="6"/>
      <c r="N3" s="6"/>
      <c r="O3" s="6"/>
      <c r="P3" s="6"/>
      <c r="Q3" s="6"/>
      <c r="R3" s="5"/>
      <c r="S3" s="5"/>
    </row>
    <row r="4" ht="18.75" customHeight="1">
      <c r="A4" s="1"/>
      <c r="B4" s="13" t="s">
        <v>4</v>
      </c>
      <c r="C4" s="14"/>
      <c r="D4" s="15" t="s">
        <v>5</v>
      </c>
      <c r="E4" s="10">
        <f>(SUM(Q:Q)/60/24)</f>
        <v>0</v>
      </c>
      <c r="H4" s="4"/>
      <c r="I4" s="4"/>
      <c r="J4" s="4"/>
      <c r="K4" s="4"/>
      <c r="L4" s="5"/>
      <c r="M4" s="6"/>
      <c r="N4" s="6"/>
      <c r="O4" s="6"/>
      <c r="P4" s="6"/>
      <c r="Q4" s="6"/>
      <c r="R4" s="5"/>
      <c r="S4" s="5"/>
    </row>
    <row r="5">
      <c r="A5" s="1"/>
      <c r="B5" s="13" t="s">
        <v>48</v>
      </c>
      <c r="C5" s="14"/>
      <c r="D5" s="12" t="s">
        <v>7</v>
      </c>
      <c r="E5" s="16">
        <f>SUM(E2:E4)</f>
        <v>1.666666667</v>
      </c>
      <c r="H5" s="4"/>
      <c r="I5" s="4"/>
      <c r="J5" s="4"/>
      <c r="K5" s="4"/>
      <c r="L5" s="5"/>
      <c r="M5" s="6"/>
      <c r="N5" s="6"/>
      <c r="O5" s="6"/>
      <c r="P5" s="6"/>
      <c r="Q5" s="6"/>
      <c r="R5" s="5"/>
      <c r="S5" s="5"/>
    </row>
    <row r="6">
      <c r="A6" s="1"/>
      <c r="B6" s="2"/>
      <c r="C6" s="3"/>
      <c r="D6" s="4"/>
      <c r="E6" s="4"/>
      <c r="F6" s="4"/>
      <c r="G6" s="5"/>
      <c r="H6" s="4"/>
      <c r="I6" s="4"/>
      <c r="J6" s="4"/>
      <c r="K6" s="4"/>
      <c r="L6" s="5"/>
      <c r="M6" s="6"/>
      <c r="N6" s="6"/>
      <c r="O6" s="6"/>
      <c r="P6" s="6"/>
      <c r="Q6" s="6"/>
      <c r="R6" s="5"/>
      <c r="S6" s="5"/>
    </row>
    <row r="7" ht="26.25" customHeight="1">
      <c r="A7" s="17"/>
      <c r="B7" s="17"/>
      <c r="C7" s="4"/>
      <c r="D7" s="4"/>
      <c r="E7" s="4"/>
      <c r="F7" s="18"/>
      <c r="G7" s="19"/>
      <c r="H7" s="14"/>
      <c r="I7" s="4"/>
      <c r="J7" s="4"/>
      <c r="K7" s="4"/>
      <c r="L7" s="5"/>
      <c r="M7" s="6"/>
      <c r="N7" s="6"/>
      <c r="O7" s="6"/>
      <c r="P7" s="6"/>
      <c r="Q7" s="6"/>
      <c r="R7" s="5"/>
      <c r="S7" s="5"/>
    </row>
    <row r="8" ht="22.5" customHeight="1">
      <c r="A8" s="17"/>
      <c r="B8" s="20" t="s">
        <v>8</v>
      </c>
      <c r="C8" s="20" t="s">
        <v>9</v>
      </c>
      <c r="D8" s="20" t="s">
        <v>10</v>
      </c>
      <c r="E8" s="20" t="s">
        <v>11</v>
      </c>
      <c r="F8" s="20" t="s">
        <v>12</v>
      </c>
      <c r="G8" s="20" t="s">
        <v>13</v>
      </c>
      <c r="H8" s="20" t="s">
        <v>14</v>
      </c>
      <c r="I8" s="21" t="s">
        <v>15</v>
      </c>
      <c r="J8" s="22" t="s">
        <v>16</v>
      </c>
      <c r="K8" s="22" t="s">
        <v>17</v>
      </c>
      <c r="L8" s="22" t="s">
        <v>18</v>
      </c>
      <c r="M8" s="22" t="s">
        <v>19</v>
      </c>
      <c r="N8" s="22" t="s">
        <v>20</v>
      </c>
      <c r="O8" s="21" t="s">
        <v>21</v>
      </c>
      <c r="P8" s="21" t="s">
        <v>22</v>
      </c>
      <c r="Q8" s="22" t="s">
        <v>23</v>
      </c>
      <c r="R8" s="21" t="s">
        <v>24</v>
      </c>
      <c r="S8" s="21" t="s">
        <v>25</v>
      </c>
    </row>
    <row r="9" ht="22.5" customHeight="1">
      <c r="A9" s="61"/>
      <c r="B9" s="62" t="s">
        <v>27</v>
      </c>
      <c r="C9" s="63" t="s">
        <v>49</v>
      </c>
      <c r="D9" s="64" t="s">
        <v>50</v>
      </c>
      <c r="E9" s="65">
        <v>2.0</v>
      </c>
      <c r="F9" s="66" t="s">
        <v>51</v>
      </c>
      <c r="G9" s="67" t="s">
        <v>31</v>
      </c>
      <c r="H9" s="62" t="s">
        <v>32</v>
      </c>
      <c r="I9" s="68" t="s">
        <v>33</v>
      </c>
      <c r="J9" s="69">
        <v>1.0</v>
      </c>
      <c r="K9" s="70">
        <v>0.0</v>
      </c>
      <c r="L9" s="71">
        <v>240.0</v>
      </c>
      <c r="M9" s="71">
        <v>2.0</v>
      </c>
      <c r="N9" s="71" t="s">
        <v>52</v>
      </c>
      <c r="O9" s="72" t="s">
        <v>53</v>
      </c>
      <c r="P9" s="72" t="s">
        <v>37</v>
      </c>
      <c r="Q9" s="73"/>
      <c r="R9" s="74" t="s">
        <v>54</v>
      </c>
      <c r="S9" s="74" t="s">
        <v>55</v>
      </c>
    </row>
    <row r="10" ht="22.5" customHeight="1">
      <c r="A10" s="61"/>
      <c r="B10" s="62" t="s">
        <v>27</v>
      </c>
      <c r="C10" s="63" t="s">
        <v>49</v>
      </c>
      <c r="D10" s="64" t="s">
        <v>56</v>
      </c>
      <c r="E10" s="65">
        <v>2.0</v>
      </c>
      <c r="F10" s="66" t="s">
        <v>57</v>
      </c>
      <c r="G10" s="67" t="s">
        <v>31</v>
      </c>
      <c r="H10" s="62" t="s">
        <v>32</v>
      </c>
      <c r="I10" s="68" t="s">
        <v>33</v>
      </c>
      <c r="J10" s="69">
        <v>1.0</v>
      </c>
      <c r="K10" s="70">
        <v>0.0</v>
      </c>
      <c r="L10" s="71">
        <v>240.0</v>
      </c>
      <c r="M10" s="71">
        <v>2.0</v>
      </c>
      <c r="N10" s="71" t="s">
        <v>52</v>
      </c>
      <c r="O10" s="72" t="s">
        <v>53</v>
      </c>
      <c r="P10" s="72" t="s">
        <v>53</v>
      </c>
      <c r="Q10" s="71"/>
      <c r="R10" s="63" t="s">
        <v>58</v>
      </c>
      <c r="S10" s="63" t="s">
        <v>58</v>
      </c>
    </row>
    <row r="11" ht="22.5" customHeight="1">
      <c r="A11" s="61"/>
      <c r="B11" s="62" t="s">
        <v>27</v>
      </c>
      <c r="C11" s="63" t="s">
        <v>49</v>
      </c>
      <c r="D11" s="62" t="s">
        <v>59</v>
      </c>
      <c r="E11" s="65">
        <v>2.0</v>
      </c>
      <c r="F11" s="62" t="s">
        <v>60</v>
      </c>
      <c r="G11" s="67" t="s">
        <v>31</v>
      </c>
      <c r="H11" s="62" t="s">
        <v>32</v>
      </c>
      <c r="I11" s="68" t="s">
        <v>61</v>
      </c>
      <c r="J11" s="69">
        <v>2.0</v>
      </c>
      <c r="K11" s="70">
        <v>180.0</v>
      </c>
      <c r="L11" s="71">
        <v>0.0</v>
      </c>
      <c r="M11" s="71">
        <v>1.0</v>
      </c>
      <c r="N11" s="71" t="s">
        <v>62</v>
      </c>
      <c r="O11" s="72" t="s">
        <v>53</v>
      </c>
      <c r="P11" s="72" t="s">
        <v>53</v>
      </c>
      <c r="Q11" s="73"/>
      <c r="R11" s="63" t="s">
        <v>58</v>
      </c>
      <c r="S11" s="63" t="s">
        <v>58</v>
      </c>
    </row>
    <row r="12" ht="22.5" customHeight="1">
      <c r="A12" s="61"/>
      <c r="B12" s="62" t="s">
        <v>27</v>
      </c>
      <c r="C12" s="63" t="s">
        <v>49</v>
      </c>
      <c r="D12" s="62" t="s">
        <v>63</v>
      </c>
      <c r="E12" s="65">
        <v>3.0</v>
      </c>
      <c r="F12" s="62" t="s">
        <v>64</v>
      </c>
      <c r="G12" s="67" t="s">
        <v>31</v>
      </c>
      <c r="H12" s="62" t="s">
        <v>32</v>
      </c>
      <c r="I12" s="68" t="s">
        <v>40</v>
      </c>
      <c r="J12" s="69">
        <v>1.0</v>
      </c>
      <c r="K12" s="70">
        <v>0.0</v>
      </c>
      <c r="L12" s="71">
        <v>360.0</v>
      </c>
      <c r="M12" s="71">
        <v>0.0</v>
      </c>
      <c r="N12" s="71" t="s">
        <v>52</v>
      </c>
      <c r="O12" s="72" t="s">
        <v>53</v>
      </c>
      <c r="P12" s="72" t="s">
        <v>53</v>
      </c>
      <c r="Q12" s="73"/>
      <c r="R12" s="63" t="s">
        <v>58</v>
      </c>
      <c r="S12" s="63" t="s">
        <v>58</v>
      </c>
    </row>
    <row r="13" ht="22.5" customHeight="1">
      <c r="A13" s="61"/>
      <c r="B13" s="62" t="s">
        <v>43</v>
      </c>
      <c r="C13" s="75" t="s">
        <v>65</v>
      </c>
      <c r="D13" s="64" t="s">
        <v>66</v>
      </c>
      <c r="E13" s="65">
        <v>2.0</v>
      </c>
      <c r="F13" s="66" t="s">
        <v>67</v>
      </c>
      <c r="G13" s="67" t="s">
        <v>31</v>
      </c>
      <c r="H13" s="62" t="s">
        <v>32</v>
      </c>
      <c r="I13" s="68" t="s">
        <v>33</v>
      </c>
      <c r="J13" s="69">
        <v>1.0</v>
      </c>
      <c r="K13" s="70">
        <v>0.0</v>
      </c>
      <c r="L13" s="71">
        <v>240.0</v>
      </c>
      <c r="M13" s="71">
        <v>2.0</v>
      </c>
      <c r="N13" s="71" t="s">
        <v>52</v>
      </c>
      <c r="O13" s="72" t="s">
        <v>53</v>
      </c>
      <c r="P13" s="72" t="s">
        <v>53</v>
      </c>
      <c r="Q13" s="73"/>
      <c r="R13" s="63" t="s">
        <v>58</v>
      </c>
      <c r="S13" s="63" t="s">
        <v>58</v>
      </c>
    </row>
    <row r="14" ht="22.5" customHeight="1">
      <c r="A14" s="61"/>
      <c r="B14" s="62" t="s">
        <v>43</v>
      </c>
      <c r="C14" s="75" t="s">
        <v>65</v>
      </c>
      <c r="D14" s="64" t="s">
        <v>68</v>
      </c>
      <c r="E14" s="65">
        <v>1.0</v>
      </c>
      <c r="F14" s="66" t="s">
        <v>69</v>
      </c>
      <c r="G14" s="67" t="s">
        <v>31</v>
      </c>
      <c r="H14" s="62" t="s">
        <v>32</v>
      </c>
      <c r="I14" s="68" t="s">
        <v>33</v>
      </c>
      <c r="J14" s="69">
        <v>1.0</v>
      </c>
      <c r="K14" s="70">
        <v>0.0</v>
      </c>
      <c r="L14" s="71">
        <v>240.0</v>
      </c>
      <c r="M14" s="71">
        <v>2.0</v>
      </c>
      <c r="N14" s="71" t="s">
        <v>52</v>
      </c>
      <c r="O14" s="72" t="s">
        <v>53</v>
      </c>
      <c r="P14" s="72" t="s">
        <v>53</v>
      </c>
      <c r="Q14" s="73"/>
      <c r="R14" s="63" t="s">
        <v>58</v>
      </c>
      <c r="S14" s="63" t="s">
        <v>58</v>
      </c>
    </row>
    <row r="15" ht="22.5" customHeight="1">
      <c r="A15" s="61"/>
      <c r="B15" s="62" t="s">
        <v>43</v>
      </c>
      <c r="C15" s="75" t="s">
        <v>65</v>
      </c>
      <c r="D15" s="62" t="s">
        <v>70</v>
      </c>
      <c r="E15" s="65">
        <v>2.0</v>
      </c>
      <c r="F15" s="62" t="s">
        <v>71</v>
      </c>
      <c r="G15" s="67" t="s">
        <v>31</v>
      </c>
      <c r="H15" s="62" t="s">
        <v>32</v>
      </c>
      <c r="I15" s="68" t="s">
        <v>61</v>
      </c>
      <c r="J15" s="69">
        <v>2.0</v>
      </c>
      <c r="K15" s="70">
        <v>180.0</v>
      </c>
      <c r="L15" s="71">
        <v>0.0</v>
      </c>
      <c r="M15" s="71">
        <v>1.0</v>
      </c>
      <c r="N15" s="71" t="s">
        <v>62</v>
      </c>
      <c r="O15" s="72" t="s">
        <v>53</v>
      </c>
      <c r="P15" s="72" t="s">
        <v>53</v>
      </c>
      <c r="Q15" s="73"/>
      <c r="R15" s="63" t="s">
        <v>58</v>
      </c>
      <c r="S15" s="63" t="s">
        <v>58</v>
      </c>
    </row>
    <row r="16" ht="22.5" customHeight="1">
      <c r="A16" s="61"/>
      <c r="B16" s="62" t="s">
        <v>43</v>
      </c>
      <c r="C16" s="75" t="s">
        <v>65</v>
      </c>
      <c r="D16" s="62"/>
      <c r="E16" s="65"/>
      <c r="F16" s="62"/>
      <c r="G16" s="67"/>
      <c r="H16" s="62"/>
      <c r="I16" s="68" t="s">
        <v>33</v>
      </c>
      <c r="J16" s="69">
        <v>1.0</v>
      </c>
      <c r="K16" s="70"/>
      <c r="L16" s="71"/>
      <c r="M16" s="71"/>
      <c r="N16" s="71"/>
      <c r="O16" s="72"/>
      <c r="P16" s="72" t="s">
        <v>42</v>
      </c>
      <c r="Q16" s="73"/>
      <c r="R16" s="63"/>
      <c r="S16" s="63"/>
    </row>
    <row r="17" ht="22.5" customHeight="1">
      <c r="A17" s="61"/>
      <c r="B17" s="62" t="s">
        <v>43</v>
      </c>
      <c r="C17" s="75" t="s">
        <v>65</v>
      </c>
      <c r="D17" s="62"/>
      <c r="E17" s="65"/>
      <c r="F17" s="62"/>
      <c r="G17" s="67"/>
      <c r="H17" s="62"/>
      <c r="I17" s="68" t="s">
        <v>41</v>
      </c>
      <c r="J17" s="69">
        <v>1.0</v>
      </c>
      <c r="K17" s="70"/>
      <c r="L17" s="71"/>
      <c r="M17" s="71"/>
      <c r="N17" s="71"/>
      <c r="O17" s="72"/>
      <c r="P17" s="72"/>
      <c r="Q17" s="73"/>
      <c r="R17" s="63"/>
      <c r="S17" s="63"/>
    </row>
    <row r="18" ht="22.5" customHeight="1">
      <c r="A18" s="61"/>
      <c r="B18" s="62" t="s">
        <v>72</v>
      </c>
      <c r="C18" s="75" t="s">
        <v>73</v>
      </c>
      <c r="D18" s="64" t="s">
        <v>74</v>
      </c>
      <c r="E18" s="65">
        <v>1.0</v>
      </c>
      <c r="F18" s="66" t="s">
        <v>75</v>
      </c>
      <c r="G18" s="67" t="s">
        <v>31</v>
      </c>
      <c r="H18" s="62" t="s">
        <v>32</v>
      </c>
      <c r="I18" s="68" t="s">
        <v>33</v>
      </c>
      <c r="J18" s="69">
        <v>1.0</v>
      </c>
      <c r="K18" s="70">
        <v>0.0</v>
      </c>
      <c r="L18" s="71">
        <v>240.0</v>
      </c>
      <c r="M18" s="71">
        <v>2.0</v>
      </c>
      <c r="N18" s="71" t="s">
        <v>52</v>
      </c>
      <c r="O18" s="72" t="s">
        <v>53</v>
      </c>
      <c r="P18" s="72" t="s">
        <v>53</v>
      </c>
      <c r="Q18" s="73"/>
      <c r="R18" s="63" t="s">
        <v>58</v>
      </c>
      <c r="S18" s="63" t="s">
        <v>58</v>
      </c>
    </row>
    <row r="19" ht="22.5" customHeight="1">
      <c r="A19" s="61"/>
      <c r="B19" s="62" t="s">
        <v>72</v>
      </c>
      <c r="C19" s="75" t="s">
        <v>73</v>
      </c>
      <c r="D19" s="64" t="s">
        <v>76</v>
      </c>
      <c r="E19" s="65">
        <v>1.0</v>
      </c>
      <c r="F19" s="62" t="s">
        <v>77</v>
      </c>
      <c r="G19" s="67" t="s">
        <v>31</v>
      </c>
      <c r="H19" s="62" t="s">
        <v>32</v>
      </c>
      <c r="I19" s="68" t="s">
        <v>33</v>
      </c>
      <c r="J19" s="69">
        <v>1.0</v>
      </c>
      <c r="K19" s="70">
        <v>0.0</v>
      </c>
      <c r="L19" s="71">
        <v>240.0</v>
      </c>
      <c r="M19" s="71">
        <v>2.0</v>
      </c>
      <c r="N19" s="71" t="s">
        <v>52</v>
      </c>
      <c r="O19" s="72" t="s">
        <v>53</v>
      </c>
      <c r="P19" s="72" t="s">
        <v>53</v>
      </c>
      <c r="Q19" s="73"/>
      <c r="R19" s="63" t="s">
        <v>58</v>
      </c>
      <c r="S19" s="63" t="s">
        <v>58</v>
      </c>
    </row>
    <row r="20" ht="22.5" customHeight="1">
      <c r="A20" s="61"/>
      <c r="B20" s="62" t="s">
        <v>72</v>
      </c>
      <c r="C20" s="75" t="s">
        <v>73</v>
      </c>
      <c r="D20" s="62" t="s">
        <v>78</v>
      </c>
      <c r="E20" s="65">
        <v>1.0</v>
      </c>
      <c r="F20" s="62" t="s">
        <v>79</v>
      </c>
      <c r="G20" s="67" t="s">
        <v>31</v>
      </c>
      <c r="H20" s="62" t="s">
        <v>32</v>
      </c>
      <c r="I20" s="68" t="s">
        <v>61</v>
      </c>
      <c r="J20" s="69">
        <v>2.0</v>
      </c>
      <c r="K20" s="70">
        <v>180.0</v>
      </c>
      <c r="L20" s="71">
        <v>0.0</v>
      </c>
      <c r="M20" s="71">
        <v>1.0</v>
      </c>
      <c r="N20" s="71" t="s">
        <v>62</v>
      </c>
      <c r="O20" s="72" t="s">
        <v>53</v>
      </c>
      <c r="P20" s="72" t="s">
        <v>53</v>
      </c>
      <c r="Q20" s="73"/>
      <c r="R20" s="63" t="s">
        <v>58</v>
      </c>
      <c r="S20" s="63" t="s">
        <v>58</v>
      </c>
    </row>
    <row r="21" ht="22.5" customHeight="1">
      <c r="A21" s="61"/>
      <c r="B21" s="62" t="s">
        <v>72</v>
      </c>
      <c r="C21" s="75" t="s">
        <v>73</v>
      </c>
      <c r="D21" s="62" t="s">
        <v>80</v>
      </c>
      <c r="E21" s="65">
        <v>1.0</v>
      </c>
      <c r="F21" s="62" t="s">
        <v>81</v>
      </c>
      <c r="G21" s="67" t="s">
        <v>31</v>
      </c>
      <c r="H21" s="62" t="s">
        <v>32</v>
      </c>
      <c r="I21" s="68" t="s">
        <v>37</v>
      </c>
      <c r="J21" s="69">
        <v>1.0</v>
      </c>
      <c r="K21" s="70">
        <v>0.0</v>
      </c>
      <c r="L21" s="71">
        <v>60.0</v>
      </c>
      <c r="M21" s="71">
        <v>0.0</v>
      </c>
      <c r="N21" s="71" t="s">
        <v>52</v>
      </c>
      <c r="O21" s="72" t="s">
        <v>37</v>
      </c>
      <c r="P21" s="72" t="s">
        <v>53</v>
      </c>
      <c r="Q21" s="73"/>
      <c r="R21" s="63" t="s">
        <v>58</v>
      </c>
      <c r="S21" s="63" t="s">
        <v>58</v>
      </c>
    </row>
    <row r="22" ht="22.5" customHeight="1">
      <c r="A22" s="61"/>
      <c r="B22" s="62"/>
      <c r="C22" s="75"/>
      <c r="D22" s="62"/>
      <c r="E22" s="65"/>
      <c r="F22" s="62"/>
      <c r="G22" s="67"/>
      <c r="H22" s="62"/>
      <c r="I22" s="76"/>
      <c r="J22" s="69"/>
      <c r="K22" s="70"/>
      <c r="L22" s="71"/>
      <c r="M22" s="73"/>
      <c r="N22" s="73"/>
      <c r="O22" s="72"/>
      <c r="P22" s="72"/>
      <c r="Q22" s="73"/>
      <c r="R22" s="71"/>
      <c r="S22" s="77"/>
    </row>
  </sheetData>
  <customSheetViews>
    <customSheetView guid="{B201EEE6-683A-45CE-962C-E553C6CF9E9A}" filter="1" showAutoFilter="1">
      <autoFilter ref="$B$8:$S$22"/>
    </customSheetView>
  </customSheetViews>
  <mergeCells count="7">
    <mergeCell ref="B1:C1"/>
    <mergeCell ref="B2:C2"/>
    <mergeCell ref="F2:G5"/>
    <mergeCell ref="B4:C4"/>
    <mergeCell ref="B5:C5"/>
    <mergeCell ref="B6:C6"/>
    <mergeCell ref="F7:H7"/>
  </mergeCells>
  <dataValidations>
    <dataValidation type="custom" allowBlank="1" showDropDown="1" sqref="E9:E22 J9:K22">
      <formula1>AND(ISNUMBER(E9),(NOT(OR(NOT(ISERROR(DATEVALUE(E9))), AND(ISNUMBER(E9), LEFT(CELL("format", E9))="D")))))</formula1>
    </dataValidation>
    <dataValidation type="list" allowBlank="1" sqref="O9:P22">
      <formula1>"Não prevista,Quiz,Atividade Aberta,Genially,Portfólio (várias atividades),Idem"</formula1>
    </dataValidation>
    <dataValidation allowBlank="1" showDropDown="1" sqref="B9:B22 D9:D22 F9:H22"/>
    <dataValidation type="list" allowBlank="1" sqref="I9:I22">
      <formula1>"Roteiro de Vídeo,Slide,Plano de Aula,Fórum,Tarefa,PDF (avulso),Tela Interativa,Quiz,Ebook,Plano de aula + slides"</formula1>
    </dataValidation>
  </dataValidations>
  <printOptions gridLines="1" horizontalCentered="1"/>
  <pageMargins bottom="0.75" footer="0.0" header="0.0" left="0.0" right="0.1148411136107986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75"/>
  <cols>
    <col customWidth="1" min="1" max="1" width="11.75"/>
    <col customWidth="1" min="2" max="2" width="17.25"/>
    <col customWidth="1" min="3" max="3" width="33.75"/>
    <col customWidth="1" min="4" max="4" width="41.63"/>
    <col customWidth="1" min="5" max="5" width="14.5"/>
    <col customWidth="1" min="6" max="6" width="40.88"/>
    <col customWidth="1" min="7" max="7" width="22.13"/>
    <col customWidth="1" min="8" max="8" width="42.38"/>
    <col customWidth="1" min="9" max="9" width="24.88"/>
    <col customWidth="1" min="10" max="10" width="30.75"/>
    <col customWidth="1" min="11" max="11" width="37.63"/>
    <col customWidth="1" min="12" max="12" width="29.0"/>
    <col customWidth="1" min="13" max="13" width="30.25"/>
    <col customWidth="1" min="14" max="14" width="25.88"/>
    <col customWidth="1" min="15" max="16" width="26.5"/>
    <col customWidth="1" min="17" max="17" width="24.25"/>
    <col customWidth="1" min="18" max="18" width="28.38"/>
    <col customWidth="1" min="19" max="19" width="46.13"/>
  </cols>
  <sheetData>
    <row r="1">
      <c r="A1" s="1"/>
      <c r="B1" s="2"/>
      <c r="C1" s="3"/>
      <c r="D1" s="4"/>
      <c r="E1" s="4"/>
      <c r="F1" s="4"/>
      <c r="G1" s="5"/>
      <c r="H1" s="4"/>
      <c r="I1" s="4"/>
      <c r="J1" s="4"/>
      <c r="K1" s="4"/>
      <c r="L1" s="5"/>
      <c r="M1" s="6"/>
      <c r="N1" s="6"/>
      <c r="O1" s="6"/>
      <c r="P1" s="6"/>
      <c r="Q1" s="6"/>
      <c r="R1" s="5"/>
      <c r="S1" s="5"/>
    </row>
    <row r="2" ht="21.75" customHeight="1">
      <c r="B2" s="8" t="s">
        <v>0</v>
      </c>
      <c r="C2" s="3"/>
      <c r="D2" s="9" t="s">
        <v>1</v>
      </c>
      <c r="E2" s="10">
        <f>(SUM(K:K)/60/24)</f>
        <v>0.375</v>
      </c>
      <c r="F2" s="11" t="s">
        <v>82</v>
      </c>
      <c r="H2" s="4"/>
      <c r="I2" s="5"/>
      <c r="J2" s="6"/>
      <c r="K2" s="6"/>
      <c r="L2" s="6"/>
      <c r="M2" s="6"/>
      <c r="N2" s="6"/>
      <c r="O2" s="5"/>
      <c r="P2" s="5"/>
    </row>
    <row r="3">
      <c r="A3" s="4"/>
      <c r="B3" s="4"/>
      <c r="C3" s="4"/>
      <c r="D3" s="12" t="s">
        <v>3</v>
      </c>
      <c r="E3" s="10">
        <f>(SUM(L:L)/60/24)</f>
        <v>1.083333333</v>
      </c>
      <c r="H3" s="4"/>
      <c r="I3" s="4"/>
      <c r="J3" s="4"/>
      <c r="K3" s="4"/>
      <c r="L3" s="5"/>
      <c r="M3" s="6"/>
      <c r="N3" s="6"/>
      <c r="O3" s="6"/>
      <c r="P3" s="6"/>
      <c r="Q3" s="6"/>
      <c r="R3" s="5"/>
      <c r="S3" s="5"/>
    </row>
    <row r="4" ht="18.75" customHeight="1">
      <c r="A4" s="1"/>
      <c r="B4" s="13" t="s">
        <v>4</v>
      </c>
      <c r="C4" s="14"/>
      <c r="D4" s="15" t="s">
        <v>5</v>
      </c>
      <c r="E4" s="10">
        <f>(SUM(Q:Q)/60/24)</f>
        <v>0.375</v>
      </c>
      <c r="H4" s="4"/>
      <c r="I4" s="4"/>
      <c r="J4" s="4"/>
      <c r="K4" s="4"/>
      <c r="L4" s="5"/>
      <c r="M4" s="6"/>
      <c r="N4" s="6"/>
      <c r="O4" s="6"/>
      <c r="P4" s="6"/>
      <c r="Q4" s="6"/>
      <c r="R4" s="5"/>
      <c r="S4" s="5"/>
    </row>
    <row r="5">
      <c r="A5" s="1"/>
      <c r="B5" s="13" t="s">
        <v>48</v>
      </c>
      <c r="C5" s="14"/>
      <c r="D5" s="12" t="s">
        <v>7</v>
      </c>
      <c r="E5" s="16">
        <f>SUM(E2:E4)</f>
        <v>1.833333333</v>
      </c>
      <c r="H5" s="4"/>
      <c r="I5" s="4"/>
      <c r="J5" s="4"/>
      <c r="K5" s="4"/>
      <c r="L5" s="5"/>
      <c r="M5" s="6"/>
      <c r="N5" s="6"/>
      <c r="O5" s="6"/>
      <c r="P5" s="6"/>
      <c r="Q5" s="6"/>
      <c r="R5" s="5"/>
      <c r="S5" s="5"/>
    </row>
    <row r="6">
      <c r="A6" s="1"/>
      <c r="B6" s="2"/>
      <c r="C6" s="3"/>
      <c r="D6" s="4"/>
      <c r="E6" s="4"/>
      <c r="F6" s="4"/>
      <c r="G6" s="5"/>
      <c r="H6" s="4"/>
      <c r="I6" s="4"/>
      <c r="J6" s="4"/>
      <c r="K6" s="4"/>
      <c r="L6" s="5"/>
      <c r="M6" s="6"/>
      <c r="N6" s="6"/>
      <c r="O6" s="6"/>
      <c r="P6" s="6"/>
      <c r="Q6" s="6"/>
      <c r="R6" s="5"/>
      <c r="S6" s="5"/>
    </row>
    <row r="7" ht="26.25" customHeight="1">
      <c r="A7" s="17"/>
      <c r="B7" s="17"/>
      <c r="C7" s="4"/>
      <c r="D7" s="4"/>
      <c r="E7" s="4"/>
      <c r="F7" s="18"/>
      <c r="G7" s="19"/>
      <c r="H7" s="14"/>
      <c r="I7" s="4"/>
      <c r="J7" s="4"/>
      <c r="K7" s="4"/>
      <c r="L7" s="5"/>
      <c r="M7" s="6"/>
      <c r="N7" s="6"/>
      <c r="O7" s="6"/>
      <c r="P7" s="6"/>
      <c r="Q7" s="6"/>
      <c r="R7" s="5"/>
      <c r="S7" s="5"/>
    </row>
    <row r="8" ht="22.5" customHeight="1">
      <c r="A8" s="17"/>
      <c r="B8" s="20" t="s">
        <v>8</v>
      </c>
      <c r="C8" s="20" t="s">
        <v>9</v>
      </c>
      <c r="D8" s="20" t="s">
        <v>10</v>
      </c>
      <c r="E8" s="20" t="s">
        <v>11</v>
      </c>
      <c r="F8" s="20" t="s">
        <v>12</v>
      </c>
      <c r="G8" s="20" t="s">
        <v>13</v>
      </c>
      <c r="H8" s="20" t="s">
        <v>14</v>
      </c>
      <c r="I8" s="21" t="s">
        <v>15</v>
      </c>
      <c r="J8" s="22" t="s">
        <v>16</v>
      </c>
      <c r="K8" s="22" t="s">
        <v>17</v>
      </c>
      <c r="L8" s="22" t="s">
        <v>18</v>
      </c>
      <c r="M8" s="22" t="s">
        <v>19</v>
      </c>
      <c r="N8" s="22" t="s">
        <v>20</v>
      </c>
      <c r="O8" s="21" t="s">
        <v>21</v>
      </c>
      <c r="P8" s="21" t="s">
        <v>22</v>
      </c>
      <c r="Q8" s="22" t="s">
        <v>23</v>
      </c>
      <c r="R8" s="21" t="s">
        <v>24</v>
      </c>
      <c r="S8" s="21" t="s">
        <v>25</v>
      </c>
    </row>
    <row r="9" ht="22.5" customHeight="1">
      <c r="A9" s="23"/>
      <c r="B9" s="78" t="s">
        <v>27</v>
      </c>
      <c r="C9" s="79" t="s">
        <v>83</v>
      </c>
      <c r="D9" s="49" t="s">
        <v>84</v>
      </c>
      <c r="E9" s="48">
        <v>1.0</v>
      </c>
      <c r="F9" s="49" t="s">
        <v>85</v>
      </c>
      <c r="G9" s="49" t="s">
        <v>31</v>
      </c>
      <c r="H9" s="49" t="s">
        <v>36</v>
      </c>
      <c r="I9" s="80" t="s">
        <v>86</v>
      </c>
      <c r="J9" s="32">
        <v>6.0</v>
      </c>
      <c r="K9" s="32">
        <v>0.0</v>
      </c>
      <c r="L9" s="34">
        <v>280.0</v>
      </c>
      <c r="M9" s="81">
        <v>3.0</v>
      </c>
      <c r="N9" s="81" t="s">
        <v>52</v>
      </c>
      <c r="O9" s="82" t="s">
        <v>53</v>
      </c>
      <c r="P9" s="51" t="s">
        <v>37</v>
      </c>
      <c r="Q9" s="52">
        <v>60.0</v>
      </c>
      <c r="R9" s="83" t="s">
        <v>87</v>
      </c>
      <c r="S9" s="83" t="s">
        <v>55</v>
      </c>
    </row>
    <row r="10" ht="22.5" customHeight="1">
      <c r="A10" s="23"/>
      <c r="B10" s="84" t="s">
        <v>27</v>
      </c>
      <c r="C10" s="85" t="s">
        <v>88</v>
      </c>
      <c r="D10" s="39" t="s">
        <v>58</v>
      </c>
      <c r="E10" s="41">
        <v>1.0</v>
      </c>
      <c r="F10" s="39" t="s">
        <v>58</v>
      </c>
      <c r="G10" s="39" t="s">
        <v>31</v>
      </c>
      <c r="H10" s="39" t="s">
        <v>36</v>
      </c>
      <c r="I10" s="86" t="s">
        <v>35</v>
      </c>
      <c r="J10" s="43">
        <v>6.0</v>
      </c>
      <c r="K10" s="43">
        <v>0.0</v>
      </c>
      <c r="L10" s="87">
        <v>0.0</v>
      </c>
      <c r="M10" s="87">
        <v>0.0</v>
      </c>
      <c r="N10" s="87" t="s">
        <v>52</v>
      </c>
      <c r="O10" s="88" t="s">
        <v>53</v>
      </c>
      <c r="P10" s="88" t="s">
        <v>53</v>
      </c>
      <c r="Q10" s="47"/>
      <c r="R10" s="89" t="s">
        <v>34</v>
      </c>
      <c r="S10" s="45"/>
    </row>
    <row r="11" ht="22.5" customHeight="1">
      <c r="A11" s="23"/>
      <c r="B11" s="78" t="s">
        <v>27</v>
      </c>
      <c r="C11" s="79" t="s">
        <v>88</v>
      </c>
      <c r="D11" s="49" t="s">
        <v>58</v>
      </c>
      <c r="E11" s="48">
        <v>2.0</v>
      </c>
      <c r="F11" s="49" t="s">
        <v>89</v>
      </c>
      <c r="G11" s="49" t="s">
        <v>31</v>
      </c>
      <c r="H11" s="49" t="s">
        <v>36</v>
      </c>
      <c r="I11" s="90" t="s">
        <v>38</v>
      </c>
      <c r="J11" s="32">
        <v>1.0</v>
      </c>
      <c r="K11" s="32">
        <v>180.0</v>
      </c>
      <c r="L11" s="34">
        <v>0.0</v>
      </c>
      <c r="M11" s="81">
        <v>1.0</v>
      </c>
      <c r="N11" s="81" t="s">
        <v>62</v>
      </c>
      <c r="O11" s="82" t="s">
        <v>53</v>
      </c>
      <c r="P11" s="82" t="s">
        <v>53</v>
      </c>
      <c r="Q11" s="91"/>
      <c r="R11" s="83" t="s">
        <v>34</v>
      </c>
      <c r="S11" s="35"/>
    </row>
    <row r="12" ht="22.5" customHeight="1">
      <c r="A12" s="23"/>
      <c r="B12" s="84" t="s">
        <v>27</v>
      </c>
      <c r="C12" s="85" t="s">
        <v>88</v>
      </c>
      <c r="D12" s="39" t="s">
        <v>58</v>
      </c>
      <c r="E12" s="41">
        <v>3.0</v>
      </c>
      <c r="F12" s="39" t="s">
        <v>90</v>
      </c>
      <c r="G12" s="39" t="s">
        <v>31</v>
      </c>
      <c r="H12" s="39" t="s">
        <v>36</v>
      </c>
      <c r="I12" s="92" t="s">
        <v>86</v>
      </c>
      <c r="J12" s="43">
        <v>1.0</v>
      </c>
      <c r="K12" s="43">
        <v>0.0</v>
      </c>
      <c r="L12" s="54">
        <v>60.0</v>
      </c>
      <c r="M12" s="87">
        <v>1.0</v>
      </c>
      <c r="N12" s="87" t="s">
        <v>52</v>
      </c>
      <c r="O12" s="88" t="s">
        <v>53</v>
      </c>
      <c r="P12" s="57" t="s">
        <v>42</v>
      </c>
      <c r="Q12" s="58">
        <v>120.0</v>
      </c>
      <c r="R12" s="89" t="s">
        <v>34</v>
      </c>
      <c r="S12" s="45"/>
    </row>
    <row r="13" ht="22.5" customHeight="1">
      <c r="A13" s="23"/>
      <c r="B13" s="78" t="s">
        <v>27</v>
      </c>
      <c r="C13" s="79" t="s">
        <v>88</v>
      </c>
      <c r="D13" s="49" t="s">
        <v>58</v>
      </c>
      <c r="E13" s="48">
        <v>4.0</v>
      </c>
      <c r="F13" s="49" t="s">
        <v>91</v>
      </c>
      <c r="G13" s="49" t="s">
        <v>31</v>
      </c>
      <c r="H13" s="49" t="s">
        <v>36</v>
      </c>
      <c r="I13" s="93" t="s">
        <v>40</v>
      </c>
      <c r="J13" s="32">
        <v>1.0</v>
      </c>
      <c r="K13" s="32">
        <v>0.0</v>
      </c>
      <c r="L13" s="91"/>
      <c r="M13" s="81">
        <v>1.0</v>
      </c>
      <c r="N13" s="81" t="s">
        <v>52</v>
      </c>
      <c r="O13" s="82" t="s">
        <v>53</v>
      </c>
      <c r="P13" s="82" t="s">
        <v>53</v>
      </c>
      <c r="Q13" s="35"/>
      <c r="R13" s="83" t="s">
        <v>34</v>
      </c>
      <c r="S13" s="35"/>
    </row>
    <row r="14" ht="22.5" customHeight="1">
      <c r="A14" s="23"/>
      <c r="B14" s="84" t="s">
        <v>43</v>
      </c>
      <c r="C14" s="85" t="s">
        <v>92</v>
      </c>
      <c r="D14" s="39" t="s">
        <v>93</v>
      </c>
      <c r="E14" s="41">
        <v>1.0</v>
      </c>
      <c r="F14" s="39" t="s">
        <v>94</v>
      </c>
      <c r="G14" s="39" t="s">
        <v>31</v>
      </c>
      <c r="H14" s="39" t="s">
        <v>36</v>
      </c>
      <c r="I14" s="92" t="s">
        <v>86</v>
      </c>
      <c r="J14" s="43">
        <v>5.0</v>
      </c>
      <c r="K14" s="43">
        <v>0.0</v>
      </c>
      <c r="L14" s="54">
        <v>420.0</v>
      </c>
      <c r="M14" s="87">
        <v>3.0</v>
      </c>
      <c r="N14" s="87" t="s">
        <v>52</v>
      </c>
      <c r="O14" s="88" t="s">
        <v>53</v>
      </c>
      <c r="P14" s="94" t="s">
        <v>37</v>
      </c>
      <c r="Q14" s="58">
        <v>60.0</v>
      </c>
      <c r="R14" s="95" t="s">
        <v>54</v>
      </c>
      <c r="S14" s="89" t="s">
        <v>55</v>
      </c>
    </row>
    <row r="15" ht="22.5" customHeight="1">
      <c r="A15" s="23"/>
      <c r="B15" s="78" t="s">
        <v>43</v>
      </c>
      <c r="C15" s="79" t="s">
        <v>92</v>
      </c>
      <c r="D15" s="49" t="s">
        <v>58</v>
      </c>
      <c r="E15" s="48">
        <v>1.0</v>
      </c>
      <c r="F15" s="49" t="s">
        <v>58</v>
      </c>
      <c r="G15" s="49" t="s">
        <v>58</v>
      </c>
      <c r="H15" s="49" t="s">
        <v>58</v>
      </c>
      <c r="I15" s="96" t="s">
        <v>35</v>
      </c>
      <c r="J15" s="32">
        <v>5.0</v>
      </c>
      <c r="K15" s="32">
        <v>0.0</v>
      </c>
      <c r="L15" s="34">
        <v>0.0</v>
      </c>
      <c r="M15" s="81">
        <v>0.0</v>
      </c>
      <c r="N15" s="81" t="s">
        <v>52</v>
      </c>
      <c r="O15" s="82" t="s">
        <v>53</v>
      </c>
      <c r="P15" s="82" t="s">
        <v>53</v>
      </c>
      <c r="Q15" s="35"/>
      <c r="R15" s="83" t="s">
        <v>34</v>
      </c>
      <c r="S15" s="83" t="s">
        <v>34</v>
      </c>
    </row>
    <row r="16" ht="22.5" customHeight="1">
      <c r="A16" s="23"/>
      <c r="B16" s="84" t="s">
        <v>43</v>
      </c>
      <c r="C16" s="85" t="s">
        <v>92</v>
      </c>
      <c r="D16" s="39" t="s">
        <v>58</v>
      </c>
      <c r="E16" s="41">
        <v>2.0</v>
      </c>
      <c r="F16" s="39" t="s">
        <v>95</v>
      </c>
      <c r="G16" s="39" t="s">
        <v>58</v>
      </c>
      <c r="H16" s="39" t="s">
        <v>58</v>
      </c>
      <c r="I16" s="97" t="s">
        <v>38</v>
      </c>
      <c r="J16" s="43">
        <v>1.0</v>
      </c>
      <c r="K16" s="43">
        <v>180.0</v>
      </c>
      <c r="L16" s="87">
        <v>0.0</v>
      </c>
      <c r="M16" s="87">
        <v>1.0</v>
      </c>
      <c r="N16" s="87" t="s">
        <v>62</v>
      </c>
      <c r="O16" s="88" t="s">
        <v>53</v>
      </c>
      <c r="P16" s="88" t="s">
        <v>53</v>
      </c>
      <c r="Q16" s="45"/>
      <c r="R16" s="89" t="s">
        <v>34</v>
      </c>
      <c r="S16" s="89" t="s">
        <v>34</v>
      </c>
    </row>
    <row r="17" ht="22.5" customHeight="1">
      <c r="A17" s="23"/>
      <c r="B17" s="78" t="s">
        <v>43</v>
      </c>
      <c r="C17" s="79" t="s">
        <v>92</v>
      </c>
      <c r="D17" s="49" t="s">
        <v>58</v>
      </c>
      <c r="E17" s="48">
        <v>3.0</v>
      </c>
      <c r="F17" s="49" t="s">
        <v>96</v>
      </c>
      <c r="G17" s="49" t="s">
        <v>58</v>
      </c>
      <c r="H17" s="49" t="s">
        <v>58</v>
      </c>
      <c r="I17" s="80" t="s">
        <v>86</v>
      </c>
      <c r="J17" s="32">
        <v>1.0</v>
      </c>
      <c r="K17" s="32">
        <v>0.0</v>
      </c>
      <c r="L17" s="34">
        <v>180.0</v>
      </c>
      <c r="M17" s="81">
        <v>1.0</v>
      </c>
      <c r="N17" s="81" t="s">
        <v>52</v>
      </c>
      <c r="O17" s="82" t="s">
        <v>53</v>
      </c>
      <c r="P17" s="98" t="s">
        <v>42</v>
      </c>
      <c r="Q17" s="52">
        <v>120.0</v>
      </c>
      <c r="R17" s="83" t="s">
        <v>34</v>
      </c>
      <c r="S17" s="83" t="s">
        <v>34</v>
      </c>
    </row>
    <row r="18" ht="22.5" customHeight="1">
      <c r="A18" s="23"/>
      <c r="B18" s="84" t="s">
        <v>43</v>
      </c>
      <c r="C18" s="85" t="s">
        <v>92</v>
      </c>
      <c r="D18" s="39" t="s">
        <v>58</v>
      </c>
      <c r="E18" s="41">
        <v>4.0</v>
      </c>
      <c r="F18" s="39" t="s">
        <v>97</v>
      </c>
      <c r="G18" s="39" t="s">
        <v>31</v>
      </c>
      <c r="H18" s="39" t="s">
        <v>36</v>
      </c>
      <c r="I18" s="99" t="s">
        <v>40</v>
      </c>
      <c r="J18" s="43">
        <v>1.0</v>
      </c>
      <c r="K18" s="43">
        <v>0.0</v>
      </c>
      <c r="L18" s="54">
        <v>150.0</v>
      </c>
      <c r="M18" s="45"/>
      <c r="N18" s="87" t="s">
        <v>52</v>
      </c>
      <c r="O18" s="88" t="s">
        <v>53</v>
      </c>
      <c r="P18" s="88" t="s">
        <v>53</v>
      </c>
      <c r="Q18" s="45"/>
      <c r="R18" s="89" t="s">
        <v>58</v>
      </c>
      <c r="S18" s="89" t="s">
        <v>34</v>
      </c>
    </row>
    <row r="19" ht="22.5" customHeight="1">
      <c r="A19" s="23"/>
      <c r="B19" s="78" t="s">
        <v>72</v>
      </c>
      <c r="C19" s="79" t="s">
        <v>98</v>
      </c>
      <c r="D19" s="49" t="s">
        <v>99</v>
      </c>
      <c r="E19" s="48">
        <v>1.0</v>
      </c>
      <c r="F19" s="49" t="s">
        <v>100</v>
      </c>
      <c r="G19" s="49" t="s">
        <v>31</v>
      </c>
      <c r="H19" s="49" t="s">
        <v>36</v>
      </c>
      <c r="I19" s="80" t="s">
        <v>86</v>
      </c>
      <c r="J19" s="32">
        <v>3.0</v>
      </c>
      <c r="K19" s="32">
        <v>0.0</v>
      </c>
      <c r="L19" s="34">
        <v>240.0</v>
      </c>
      <c r="M19" s="81">
        <v>2.0</v>
      </c>
      <c r="N19" s="81" t="s">
        <v>52</v>
      </c>
      <c r="O19" s="82" t="s">
        <v>53</v>
      </c>
      <c r="P19" s="51" t="s">
        <v>37</v>
      </c>
      <c r="Q19" s="52">
        <v>60.0</v>
      </c>
      <c r="R19" s="83" t="s">
        <v>54</v>
      </c>
      <c r="S19" s="83" t="s">
        <v>55</v>
      </c>
    </row>
    <row r="20" ht="22.5" customHeight="1">
      <c r="A20" s="23"/>
      <c r="B20" s="84" t="s">
        <v>72</v>
      </c>
      <c r="C20" s="85" t="s">
        <v>98</v>
      </c>
      <c r="D20" s="39" t="s">
        <v>58</v>
      </c>
      <c r="E20" s="41">
        <v>1.0</v>
      </c>
      <c r="F20" s="39" t="s">
        <v>58</v>
      </c>
      <c r="G20" s="39" t="s">
        <v>31</v>
      </c>
      <c r="H20" s="39" t="s">
        <v>36</v>
      </c>
      <c r="I20" s="86" t="s">
        <v>35</v>
      </c>
      <c r="J20" s="43">
        <v>3.0</v>
      </c>
      <c r="K20" s="43">
        <v>0.0</v>
      </c>
      <c r="L20" s="54">
        <v>0.0</v>
      </c>
      <c r="M20" s="87">
        <v>0.0</v>
      </c>
      <c r="N20" s="87" t="s">
        <v>52</v>
      </c>
      <c r="O20" s="88" t="s">
        <v>53</v>
      </c>
      <c r="P20" s="88" t="s">
        <v>53</v>
      </c>
      <c r="Q20" s="45"/>
      <c r="R20" s="95" t="s">
        <v>34</v>
      </c>
      <c r="S20" s="89" t="s">
        <v>34</v>
      </c>
    </row>
    <row r="21" ht="22.5" customHeight="1">
      <c r="A21" s="23"/>
      <c r="B21" s="78" t="s">
        <v>72</v>
      </c>
      <c r="C21" s="79" t="s">
        <v>98</v>
      </c>
      <c r="D21" s="49" t="s">
        <v>58</v>
      </c>
      <c r="E21" s="48">
        <v>2.0</v>
      </c>
      <c r="F21" s="49" t="s">
        <v>101</v>
      </c>
      <c r="G21" s="49" t="s">
        <v>31</v>
      </c>
      <c r="H21" s="49" t="s">
        <v>36</v>
      </c>
      <c r="I21" s="90" t="s">
        <v>38</v>
      </c>
      <c r="J21" s="32">
        <v>1.0</v>
      </c>
      <c r="K21" s="32">
        <v>180.0</v>
      </c>
      <c r="L21" s="34">
        <v>0.0</v>
      </c>
      <c r="M21" s="81">
        <v>1.0</v>
      </c>
      <c r="N21" s="81" t="s">
        <v>62</v>
      </c>
      <c r="O21" s="82" t="s">
        <v>53</v>
      </c>
      <c r="P21" s="82" t="s">
        <v>53</v>
      </c>
      <c r="Q21" s="35"/>
      <c r="R21" s="83" t="s">
        <v>34</v>
      </c>
      <c r="S21" s="83" t="s">
        <v>34</v>
      </c>
    </row>
    <row r="22" ht="22.5" customHeight="1">
      <c r="A22" s="23"/>
      <c r="B22" s="84" t="s">
        <v>72</v>
      </c>
      <c r="C22" s="85" t="s">
        <v>98</v>
      </c>
      <c r="D22" s="39" t="s">
        <v>58</v>
      </c>
      <c r="E22" s="41">
        <v>3.0</v>
      </c>
      <c r="F22" s="39" t="s">
        <v>102</v>
      </c>
      <c r="G22" s="39" t="s">
        <v>31</v>
      </c>
      <c r="H22" s="39" t="s">
        <v>36</v>
      </c>
      <c r="I22" s="92" t="s">
        <v>86</v>
      </c>
      <c r="J22" s="43">
        <v>1.0</v>
      </c>
      <c r="K22" s="43">
        <v>0.0</v>
      </c>
      <c r="L22" s="87">
        <v>180.0</v>
      </c>
      <c r="M22" s="87">
        <v>1.0</v>
      </c>
      <c r="N22" s="87" t="s">
        <v>52</v>
      </c>
      <c r="O22" s="88" t="s">
        <v>53</v>
      </c>
      <c r="P22" s="57" t="s">
        <v>42</v>
      </c>
      <c r="Q22" s="58">
        <v>120.0</v>
      </c>
      <c r="R22" s="89" t="s">
        <v>34</v>
      </c>
      <c r="S22" s="89" t="s">
        <v>34</v>
      </c>
    </row>
    <row r="23" ht="22.5" customHeight="1">
      <c r="A23" s="23"/>
      <c r="B23" s="78" t="s">
        <v>72</v>
      </c>
      <c r="C23" s="79" t="s">
        <v>98</v>
      </c>
      <c r="D23" s="49" t="s">
        <v>58</v>
      </c>
      <c r="E23" s="48">
        <v>4.0</v>
      </c>
      <c r="F23" s="49" t="s">
        <v>97</v>
      </c>
      <c r="G23" s="49" t="s">
        <v>31</v>
      </c>
      <c r="H23" s="49" t="s">
        <v>36</v>
      </c>
      <c r="I23" s="93" t="s">
        <v>40</v>
      </c>
      <c r="J23" s="32">
        <v>1.0</v>
      </c>
      <c r="K23" s="32">
        <v>0.0</v>
      </c>
      <c r="L23" s="34">
        <v>50.0</v>
      </c>
      <c r="M23" s="35"/>
      <c r="N23" s="81" t="s">
        <v>52</v>
      </c>
      <c r="O23" s="82" t="s">
        <v>53</v>
      </c>
      <c r="P23" s="82" t="s">
        <v>53</v>
      </c>
      <c r="Q23" s="35"/>
      <c r="R23" s="83" t="s">
        <v>58</v>
      </c>
      <c r="S23" s="83" t="s">
        <v>34</v>
      </c>
    </row>
  </sheetData>
  <customSheetViews>
    <customSheetView guid="{B201EEE6-683A-45CE-962C-E553C6CF9E9A}" filter="1" showAutoFilter="1">
      <autoFilter ref="$B$8:$S$23"/>
    </customSheetView>
  </customSheetViews>
  <mergeCells count="7">
    <mergeCell ref="B1:C1"/>
    <mergeCell ref="B2:C2"/>
    <mergeCell ref="F2:G5"/>
    <mergeCell ref="B4:C4"/>
    <mergeCell ref="B5:C5"/>
    <mergeCell ref="B6:C6"/>
    <mergeCell ref="F7:H7"/>
  </mergeCells>
  <dataValidations>
    <dataValidation type="list" allowBlank="1" sqref="I9:I23">
      <formula1>"Roteiro de Vídeo,Slide,Plano de Aula,Fórum,Tarefa,PDF (avulso),Tela Interativa,Quiz,Ebook"</formula1>
    </dataValidation>
    <dataValidation type="custom" allowBlank="1" showDropDown="1" sqref="E9:E23 J9:K23">
      <formula1>AND(ISNUMBER(E9),(NOT(OR(NOT(ISERROR(DATEVALUE(E9))), AND(ISNUMBER(E9), LEFT(CELL("format", E9))="D")))))</formula1>
    </dataValidation>
    <dataValidation type="list" allowBlank="1" sqref="O9:P23">
      <formula1>"Não prevista,Quiz,Atividade Aberta,Genially,Portfólio (várias atividades),Idem"</formula1>
    </dataValidation>
    <dataValidation allowBlank="1" showDropDown="1" sqref="B9:B23 D9:D23 F9:H23"/>
  </dataValidations>
  <printOptions gridLines="1" horizontalCentered="1"/>
  <pageMargins bottom="0.75" footer="0.0" header="0.0" left="0.0" right="0.11484111361079867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75"/>
  <cols>
    <col customWidth="1" min="1" max="1" width="11.75"/>
    <col customWidth="1" min="2" max="2" width="17.25"/>
    <col customWidth="1" min="3" max="3" width="33.75"/>
    <col customWidth="1" min="4" max="4" width="41.63"/>
    <col customWidth="1" min="5" max="5" width="14.5"/>
    <col customWidth="1" min="6" max="6" width="40.88"/>
    <col customWidth="1" min="7" max="7" width="22.13"/>
    <col customWidth="1" min="8" max="8" width="42.38"/>
    <col customWidth="1" min="9" max="9" width="24.88"/>
    <col customWidth="1" min="10" max="10" width="30.75"/>
    <col customWidth="1" min="11" max="11" width="37.63"/>
    <col customWidth="1" min="12" max="12" width="29.0"/>
    <col customWidth="1" min="13" max="13" width="30.25"/>
    <col customWidth="1" min="14" max="14" width="25.88"/>
    <col customWidth="1" min="15" max="16" width="26.5"/>
    <col customWidth="1" min="17" max="17" width="24.25"/>
    <col customWidth="1" min="18" max="18" width="28.38"/>
    <col customWidth="1" min="19" max="19" width="46.13"/>
  </cols>
  <sheetData>
    <row r="1">
      <c r="A1" s="1"/>
      <c r="B1" s="2"/>
      <c r="C1" s="3"/>
      <c r="D1" s="4"/>
      <c r="E1" s="4"/>
      <c r="F1" s="4"/>
      <c r="G1" s="5"/>
      <c r="H1" s="4"/>
      <c r="I1" s="4"/>
      <c r="J1" s="4"/>
      <c r="K1" s="4"/>
      <c r="L1" s="5"/>
      <c r="M1" s="6"/>
      <c r="N1" s="6"/>
      <c r="O1" s="6"/>
      <c r="P1" s="6"/>
      <c r="Q1" s="6"/>
      <c r="R1" s="5"/>
      <c r="S1" s="5"/>
    </row>
    <row r="2" ht="21.75" customHeight="1">
      <c r="B2" s="8" t="s">
        <v>0</v>
      </c>
      <c r="C2" s="3"/>
      <c r="D2" s="9" t="s">
        <v>1</v>
      </c>
      <c r="E2" s="10">
        <f>(SUM(K:K)/60/24)</f>
        <v>0.5</v>
      </c>
      <c r="F2" s="11" t="s">
        <v>103</v>
      </c>
      <c r="H2" s="4"/>
      <c r="I2" s="5"/>
      <c r="J2" s="6"/>
      <c r="K2" s="6"/>
      <c r="L2" s="6"/>
      <c r="M2" s="6"/>
      <c r="N2" s="6"/>
      <c r="O2" s="5"/>
      <c r="P2" s="5"/>
    </row>
    <row r="3">
      <c r="A3" s="4"/>
      <c r="B3" s="4"/>
      <c r="C3" s="4"/>
      <c r="D3" s="12" t="s">
        <v>3</v>
      </c>
      <c r="E3" s="10">
        <f>(SUM(L:L)/60/24)</f>
        <v>1.309027778</v>
      </c>
      <c r="H3" s="4"/>
      <c r="I3" s="4"/>
      <c r="J3" s="4"/>
      <c r="K3" s="4"/>
      <c r="L3" s="5"/>
      <c r="M3" s="6"/>
      <c r="N3" s="6"/>
      <c r="O3" s="6"/>
      <c r="P3" s="6"/>
      <c r="Q3" s="6"/>
      <c r="R3" s="5"/>
      <c r="S3" s="5"/>
    </row>
    <row r="4" ht="18.75" customHeight="1">
      <c r="A4" s="1"/>
      <c r="B4" s="13" t="s">
        <v>4</v>
      </c>
      <c r="C4" s="14"/>
      <c r="D4" s="15" t="s">
        <v>5</v>
      </c>
      <c r="E4" s="10">
        <f>(SUM(Q:Q)/60/24)</f>
        <v>0.5</v>
      </c>
      <c r="H4" s="4"/>
      <c r="I4" s="4"/>
      <c r="J4" s="4"/>
      <c r="K4" s="4"/>
      <c r="L4" s="5"/>
      <c r="M4" s="6"/>
      <c r="N4" s="6"/>
      <c r="O4" s="6"/>
      <c r="P4" s="6"/>
      <c r="Q4" s="6"/>
      <c r="R4" s="5"/>
      <c r="S4" s="5"/>
    </row>
    <row r="5">
      <c r="A5" s="1"/>
      <c r="B5" s="13" t="s">
        <v>48</v>
      </c>
      <c r="C5" s="14"/>
      <c r="D5" s="12" t="s">
        <v>7</v>
      </c>
      <c r="E5" s="16">
        <f>SUM(E2:E4)</f>
        <v>2.309027778</v>
      </c>
      <c r="H5" s="4"/>
      <c r="I5" s="4"/>
      <c r="J5" s="4"/>
      <c r="K5" s="4"/>
      <c r="L5" s="5"/>
      <c r="M5" s="6"/>
      <c r="N5" s="6"/>
      <c r="O5" s="6"/>
      <c r="P5" s="6"/>
      <c r="Q5" s="6"/>
      <c r="R5" s="5"/>
      <c r="S5" s="5"/>
    </row>
    <row r="6">
      <c r="A6" s="1"/>
      <c r="B6" s="2"/>
      <c r="C6" s="3"/>
      <c r="D6" s="4"/>
      <c r="E6" s="4"/>
      <c r="F6" s="4"/>
      <c r="G6" s="5"/>
      <c r="H6" s="4"/>
      <c r="I6" s="4"/>
      <c r="J6" s="4"/>
      <c r="K6" s="4"/>
      <c r="L6" s="5"/>
      <c r="M6" s="6"/>
      <c r="N6" s="6"/>
      <c r="O6" s="6"/>
      <c r="P6" s="6"/>
      <c r="Q6" s="6"/>
      <c r="R6" s="5"/>
      <c r="S6" s="5"/>
    </row>
    <row r="7" ht="26.25" customHeight="1">
      <c r="A7" s="17"/>
      <c r="B7" s="17"/>
      <c r="C7" s="4"/>
      <c r="D7" s="4"/>
      <c r="E7" s="4"/>
      <c r="F7" s="18"/>
      <c r="G7" s="19"/>
      <c r="H7" s="14"/>
      <c r="I7" s="4"/>
      <c r="J7" s="4"/>
      <c r="K7" s="4"/>
      <c r="L7" s="5"/>
      <c r="M7" s="6"/>
      <c r="N7" s="6"/>
      <c r="O7" s="6"/>
      <c r="P7" s="6"/>
      <c r="Q7" s="6"/>
      <c r="R7" s="5"/>
      <c r="S7" s="5"/>
    </row>
    <row r="8" ht="22.5" customHeight="1">
      <c r="A8" s="17"/>
      <c r="B8" s="20" t="s">
        <v>8</v>
      </c>
      <c r="C8" s="20" t="s">
        <v>9</v>
      </c>
      <c r="D8" s="20" t="s">
        <v>10</v>
      </c>
      <c r="E8" s="20" t="s">
        <v>11</v>
      </c>
      <c r="F8" s="20" t="s">
        <v>12</v>
      </c>
      <c r="G8" s="20" t="s">
        <v>13</v>
      </c>
      <c r="H8" s="20" t="s">
        <v>14</v>
      </c>
      <c r="I8" s="21" t="s">
        <v>15</v>
      </c>
      <c r="J8" s="22" t="s">
        <v>16</v>
      </c>
      <c r="K8" s="22" t="s">
        <v>17</v>
      </c>
      <c r="L8" s="22" t="s">
        <v>18</v>
      </c>
      <c r="M8" s="22" t="s">
        <v>19</v>
      </c>
      <c r="N8" s="22" t="s">
        <v>20</v>
      </c>
      <c r="O8" s="21" t="s">
        <v>21</v>
      </c>
      <c r="P8" s="21" t="s">
        <v>22</v>
      </c>
      <c r="Q8" s="22" t="s">
        <v>23</v>
      </c>
      <c r="R8" s="21" t="s">
        <v>24</v>
      </c>
      <c r="S8" s="21" t="s">
        <v>25</v>
      </c>
    </row>
    <row r="9" ht="22.5" customHeight="1">
      <c r="A9" s="23"/>
      <c r="B9" s="78" t="s">
        <v>27</v>
      </c>
      <c r="C9" s="79" t="s">
        <v>104</v>
      </c>
      <c r="D9" s="49" t="s">
        <v>105</v>
      </c>
      <c r="E9" s="48">
        <v>1.0</v>
      </c>
      <c r="F9" s="49" t="s">
        <v>106</v>
      </c>
      <c r="G9" s="49" t="s">
        <v>31</v>
      </c>
      <c r="H9" s="49" t="s">
        <v>36</v>
      </c>
      <c r="I9" s="80" t="s">
        <v>86</v>
      </c>
      <c r="J9" s="32">
        <v>3.0</v>
      </c>
      <c r="K9" s="32">
        <v>0.0</v>
      </c>
      <c r="L9" s="34">
        <v>240.0</v>
      </c>
      <c r="M9" s="81">
        <v>2.0</v>
      </c>
      <c r="N9" s="81" t="s">
        <v>52</v>
      </c>
      <c r="O9" s="82" t="s">
        <v>53</v>
      </c>
      <c r="P9" s="51" t="s">
        <v>37</v>
      </c>
      <c r="Q9" s="52">
        <v>60.0</v>
      </c>
      <c r="R9" s="83" t="s">
        <v>54</v>
      </c>
      <c r="S9" s="83" t="s">
        <v>55</v>
      </c>
    </row>
    <row r="10" ht="22.5" customHeight="1">
      <c r="A10" s="23"/>
      <c r="B10" s="84" t="s">
        <v>27</v>
      </c>
      <c r="C10" s="85" t="s">
        <v>104</v>
      </c>
      <c r="D10" s="39" t="s">
        <v>58</v>
      </c>
      <c r="E10" s="41">
        <v>1.0</v>
      </c>
      <c r="F10" s="39" t="s">
        <v>58</v>
      </c>
      <c r="G10" s="39" t="s">
        <v>31</v>
      </c>
      <c r="H10" s="39" t="s">
        <v>36</v>
      </c>
      <c r="I10" s="86" t="s">
        <v>35</v>
      </c>
      <c r="J10" s="43">
        <v>3.0</v>
      </c>
      <c r="K10" s="43">
        <v>0.0</v>
      </c>
      <c r="L10" s="87">
        <v>0.0</v>
      </c>
      <c r="M10" s="87">
        <v>0.0</v>
      </c>
      <c r="N10" s="87" t="s">
        <v>52</v>
      </c>
      <c r="O10" s="88" t="s">
        <v>53</v>
      </c>
      <c r="P10" s="88" t="s">
        <v>53</v>
      </c>
      <c r="Q10" s="47"/>
      <c r="R10" s="89" t="s">
        <v>34</v>
      </c>
      <c r="S10" s="89" t="s">
        <v>34</v>
      </c>
    </row>
    <row r="11" ht="22.5" customHeight="1">
      <c r="A11" s="23"/>
      <c r="B11" s="78" t="s">
        <v>27</v>
      </c>
      <c r="C11" s="79" t="s">
        <v>104</v>
      </c>
      <c r="D11" s="49" t="s">
        <v>58</v>
      </c>
      <c r="E11" s="48">
        <v>2.0</v>
      </c>
      <c r="F11" s="49" t="s">
        <v>58</v>
      </c>
      <c r="G11" s="49" t="s">
        <v>31</v>
      </c>
      <c r="H11" s="49" t="s">
        <v>36</v>
      </c>
      <c r="I11" s="90" t="s">
        <v>38</v>
      </c>
      <c r="J11" s="32">
        <v>1.0</v>
      </c>
      <c r="K11" s="32">
        <v>180.0</v>
      </c>
      <c r="L11" s="34">
        <v>0.0</v>
      </c>
      <c r="M11" s="81">
        <v>1.0</v>
      </c>
      <c r="N11" s="81" t="s">
        <v>62</v>
      </c>
      <c r="O11" s="82" t="s">
        <v>53</v>
      </c>
      <c r="P11" s="82" t="s">
        <v>53</v>
      </c>
      <c r="Q11" s="91"/>
      <c r="R11" s="83" t="s">
        <v>34</v>
      </c>
      <c r="S11" s="83" t="s">
        <v>34</v>
      </c>
    </row>
    <row r="12" ht="22.5" customHeight="1">
      <c r="A12" s="23"/>
      <c r="B12" s="84" t="s">
        <v>27</v>
      </c>
      <c r="C12" s="85" t="s">
        <v>104</v>
      </c>
      <c r="D12" s="39" t="s">
        <v>58</v>
      </c>
      <c r="E12" s="41">
        <v>3.0</v>
      </c>
      <c r="F12" s="39" t="s">
        <v>107</v>
      </c>
      <c r="G12" s="39" t="s">
        <v>31</v>
      </c>
      <c r="H12" s="39" t="s">
        <v>36</v>
      </c>
      <c r="I12" s="92" t="s">
        <v>86</v>
      </c>
      <c r="J12" s="43">
        <v>1.0</v>
      </c>
      <c r="K12" s="44"/>
      <c r="L12" s="54">
        <v>180.0</v>
      </c>
      <c r="M12" s="87">
        <v>1.0</v>
      </c>
      <c r="N12" s="87" t="s">
        <v>52</v>
      </c>
      <c r="O12" s="88" t="s">
        <v>53</v>
      </c>
      <c r="P12" s="57" t="s">
        <v>42</v>
      </c>
      <c r="Q12" s="58">
        <v>120.0</v>
      </c>
      <c r="R12" s="89" t="s">
        <v>34</v>
      </c>
      <c r="S12" s="89" t="s">
        <v>34</v>
      </c>
    </row>
    <row r="13" ht="22.5" customHeight="1">
      <c r="A13" s="23"/>
      <c r="B13" s="78" t="s">
        <v>27</v>
      </c>
      <c r="C13" s="79" t="s">
        <v>104</v>
      </c>
      <c r="D13" s="49" t="s">
        <v>58</v>
      </c>
      <c r="E13" s="48">
        <v>4.0</v>
      </c>
      <c r="F13" s="49" t="s">
        <v>97</v>
      </c>
      <c r="G13" s="49" t="s">
        <v>31</v>
      </c>
      <c r="H13" s="49" t="s">
        <v>36</v>
      </c>
      <c r="I13" s="93" t="s">
        <v>40</v>
      </c>
      <c r="J13" s="32">
        <v>1.0</v>
      </c>
      <c r="K13" s="32">
        <v>0.0</v>
      </c>
      <c r="L13" s="34">
        <v>35.0</v>
      </c>
      <c r="M13" s="35"/>
      <c r="N13" s="81" t="s">
        <v>52</v>
      </c>
      <c r="O13" s="82" t="s">
        <v>53</v>
      </c>
      <c r="P13" s="82" t="s">
        <v>53</v>
      </c>
      <c r="Q13" s="35"/>
      <c r="R13" s="83" t="s">
        <v>58</v>
      </c>
      <c r="S13" s="83" t="s">
        <v>34</v>
      </c>
    </row>
    <row r="14" ht="22.5" customHeight="1">
      <c r="A14" s="23"/>
      <c r="B14" s="84" t="s">
        <v>43</v>
      </c>
      <c r="C14" s="85" t="s">
        <v>108</v>
      </c>
      <c r="D14" s="39" t="s">
        <v>109</v>
      </c>
      <c r="E14" s="41">
        <v>1.0</v>
      </c>
      <c r="F14" s="39" t="s">
        <v>110</v>
      </c>
      <c r="G14" s="39" t="s">
        <v>31</v>
      </c>
      <c r="H14" s="39" t="s">
        <v>36</v>
      </c>
      <c r="I14" s="92" t="s">
        <v>86</v>
      </c>
      <c r="J14" s="43">
        <v>3.0</v>
      </c>
      <c r="K14" s="43">
        <v>0.0</v>
      </c>
      <c r="L14" s="54">
        <v>300.0</v>
      </c>
      <c r="M14" s="87">
        <v>3.0</v>
      </c>
      <c r="N14" s="87" t="s">
        <v>52</v>
      </c>
      <c r="O14" s="88" t="s">
        <v>53</v>
      </c>
      <c r="P14" s="94" t="s">
        <v>37</v>
      </c>
      <c r="Q14" s="58">
        <v>60.0</v>
      </c>
      <c r="R14" s="95" t="s">
        <v>54</v>
      </c>
      <c r="S14" s="89" t="s">
        <v>55</v>
      </c>
    </row>
    <row r="15" ht="22.5" customHeight="1">
      <c r="A15" s="23"/>
      <c r="B15" s="78" t="s">
        <v>43</v>
      </c>
      <c r="C15" s="79" t="s">
        <v>108</v>
      </c>
      <c r="D15" s="49" t="s">
        <v>58</v>
      </c>
      <c r="E15" s="48">
        <v>1.0</v>
      </c>
      <c r="F15" s="49" t="s">
        <v>58</v>
      </c>
      <c r="G15" s="49" t="s">
        <v>31</v>
      </c>
      <c r="H15" s="49" t="s">
        <v>36</v>
      </c>
      <c r="I15" s="96" t="s">
        <v>35</v>
      </c>
      <c r="J15" s="32">
        <v>3.0</v>
      </c>
      <c r="K15" s="32">
        <v>0.0</v>
      </c>
      <c r="L15" s="34">
        <v>0.0</v>
      </c>
      <c r="M15" s="81">
        <v>0.0</v>
      </c>
      <c r="N15" s="81" t="s">
        <v>52</v>
      </c>
      <c r="O15" s="82" t="s">
        <v>53</v>
      </c>
      <c r="P15" s="82" t="s">
        <v>53</v>
      </c>
      <c r="Q15" s="35"/>
      <c r="R15" s="83" t="s">
        <v>34</v>
      </c>
      <c r="S15" s="83" t="s">
        <v>34</v>
      </c>
    </row>
    <row r="16" ht="22.5" customHeight="1">
      <c r="A16" s="23"/>
      <c r="B16" s="84" t="s">
        <v>43</v>
      </c>
      <c r="C16" s="85" t="s">
        <v>108</v>
      </c>
      <c r="D16" s="39" t="s">
        <v>58</v>
      </c>
      <c r="E16" s="41">
        <v>2.0</v>
      </c>
      <c r="F16" s="39" t="s">
        <v>111</v>
      </c>
      <c r="G16" s="39" t="s">
        <v>31</v>
      </c>
      <c r="H16" s="39" t="s">
        <v>36</v>
      </c>
      <c r="I16" s="97" t="s">
        <v>38</v>
      </c>
      <c r="J16" s="43">
        <v>1.0</v>
      </c>
      <c r="K16" s="43">
        <v>180.0</v>
      </c>
      <c r="L16" s="87">
        <v>0.0</v>
      </c>
      <c r="M16" s="87">
        <v>1.0</v>
      </c>
      <c r="N16" s="87" t="s">
        <v>62</v>
      </c>
      <c r="O16" s="88" t="s">
        <v>53</v>
      </c>
      <c r="P16" s="88" t="s">
        <v>53</v>
      </c>
      <c r="Q16" s="45"/>
      <c r="R16" s="89" t="s">
        <v>34</v>
      </c>
      <c r="S16" s="89" t="s">
        <v>34</v>
      </c>
    </row>
    <row r="17" ht="22.5" customHeight="1">
      <c r="A17" s="23"/>
      <c r="B17" s="78" t="s">
        <v>43</v>
      </c>
      <c r="C17" s="79" t="s">
        <v>108</v>
      </c>
      <c r="D17" s="49" t="s">
        <v>58</v>
      </c>
      <c r="E17" s="48">
        <v>3.0</v>
      </c>
      <c r="F17" s="49" t="s">
        <v>112</v>
      </c>
      <c r="G17" s="49" t="s">
        <v>31</v>
      </c>
      <c r="H17" s="49" t="s">
        <v>36</v>
      </c>
      <c r="I17" s="80" t="s">
        <v>86</v>
      </c>
      <c r="J17" s="32">
        <v>1.0</v>
      </c>
      <c r="K17" s="32">
        <v>0.0</v>
      </c>
      <c r="L17" s="34">
        <v>180.0</v>
      </c>
      <c r="M17" s="81">
        <v>1.0</v>
      </c>
      <c r="N17" s="81" t="s">
        <v>52</v>
      </c>
      <c r="O17" s="82" t="s">
        <v>53</v>
      </c>
      <c r="P17" s="98" t="s">
        <v>42</v>
      </c>
      <c r="Q17" s="52">
        <v>120.0</v>
      </c>
      <c r="R17" s="83" t="s">
        <v>34</v>
      </c>
      <c r="S17" s="83" t="s">
        <v>34</v>
      </c>
    </row>
    <row r="18" ht="22.5" customHeight="1">
      <c r="A18" s="23"/>
      <c r="B18" s="84" t="s">
        <v>43</v>
      </c>
      <c r="C18" s="85" t="s">
        <v>108</v>
      </c>
      <c r="D18" s="39" t="s">
        <v>58</v>
      </c>
      <c r="E18" s="41">
        <v>4.0</v>
      </c>
      <c r="F18" s="39" t="s">
        <v>97</v>
      </c>
      <c r="G18" s="39" t="s">
        <v>31</v>
      </c>
      <c r="H18" s="39" t="s">
        <v>36</v>
      </c>
      <c r="I18" s="99" t="s">
        <v>40</v>
      </c>
      <c r="J18" s="43">
        <v>1.0</v>
      </c>
      <c r="K18" s="43">
        <v>0.0</v>
      </c>
      <c r="L18" s="54">
        <v>70.0</v>
      </c>
      <c r="M18" s="45"/>
      <c r="N18" s="87" t="s">
        <v>52</v>
      </c>
      <c r="O18" s="88" t="s">
        <v>53</v>
      </c>
      <c r="P18" s="88" t="s">
        <v>53</v>
      </c>
      <c r="Q18" s="45"/>
      <c r="R18" s="89" t="s">
        <v>58</v>
      </c>
      <c r="S18" s="89" t="s">
        <v>34</v>
      </c>
    </row>
    <row r="19" ht="22.5" customHeight="1">
      <c r="A19" s="23"/>
      <c r="B19" s="78" t="s">
        <v>72</v>
      </c>
      <c r="C19" s="79" t="s">
        <v>113</v>
      </c>
      <c r="D19" s="49" t="s">
        <v>114</v>
      </c>
      <c r="E19" s="48">
        <v>1.0</v>
      </c>
      <c r="F19" s="49" t="s">
        <v>115</v>
      </c>
      <c r="G19" s="49" t="s">
        <v>31</v>
      </c>
      <c r="H19" s="49" t="s">
        <v>36</v>
      </c>
      <c r="I19" s="80" t="s">
        <v>86</v>
      </c>
      <c r="J19" s="32">
        <v>3.0</v>
      </c>
      <c r="K19" s="32">
        <v>0.0</v>
      </c>
      <c r="L19" s="34">
        <v>240.0</v>
      </c>
      <c r="M19" s="81">
        <v>3.0</v>
      </c>
      <c r="N19" s="81" t="s">
        <v>52</v>
      </c>
      <c r="O19" s="82" t="s">
        <v>53</v>
      </c>
      <c r="P19" s="51" t="s">
        <v>37</v>
      </c>
      <c r="Q19" s="52">
        <v>60.0</v>
      </c>
      <c r="R19" s="83" t="s">
        <v>54</v>
      </c>
      <c r="S19" s="83" t="s">
        <v>55</v>
      </c>
    </row>
    <row r="20" ht="22.5" customHeight="1">
      <c r="A20" s="23"/>
      <c r="B20" s="84" t="s">
        <v>72</v>
      </c>
      <c r="C20" s="85" t="s">
        <v>113</v>
      </c>
      <c r="D20" s="39" t="s">
        <v>39</v>
      </c>
      <c r="E20" s="41">
        <v>1.0</v>
      </c>
      <c r="F20" s="39" t="s">
        <v>39</v>
      </c>
      <c r="G20" s="39" t="s">
        <v>31</v>
      </c>
      <c r="H20" s="39" t="s">
        <v>36</v>
      </c>
      <c r="I20" s="86" t="s">
        <v>35</v>
      </c>
      <c r="J20" s="43">
        <v>3.0</v>
      </c>
      <c r="K20" s="43">
        <v>0.0</v>
      </c>
      <c r="L20" s="54">
        <v>0.0</v>
      </c>
      <c r="M20" s="87">
        <v>0.0</v>
      </c>
      <c r="N20" s="87" t="s">
        <v>52</v>
      </c>
      <c r="O20" s="88" t="s">
        <v>53</v>
      </c>
      <c r="P20" s="88" t="s">
        <v>53</v>
      </c>
      <c r="Q20" s="45"/>
      <c r="R20" s="95" t="s">
        <v>54</v>
      </c>
      <c r="S20" s="89" t="s">
        <v>39</v>
      </c>
    </row>
    <row r="21" ht="22.5" customHeight="1">
      <c r="A21" s="23"/>
      <c r="B21" s="78" t="s">
        <v>72</v>
      </c>
      <c r="C21" s="79" t="s">
        <v>113</v>
      </c>
      <c r="D21" s="49" t="s">
        <v>39</v>
      </c>
      <c r="E21" s="48">
        <v>2.0</v>
      </c>
      <c r="F21" s="49" t="s">
        <v>116</v>
      </c>
      <c r="G21" s="49" t="s">
        <v>31</v>
      </c>
      <c r="H21" s="49" t="s">
        <v>36</v>
      </c>
      <c r="I21" s="90" t="s">
        <v>38</v>
      </c>
      <c r="J21" s="32">
        <v>1.0</v>
      </c>
      <c r="K21" s="32">
        <v>180.0</v>
      </c>
      <c r="L21" s="34">
        <v>0.0</v>
      </c>
      <c r="M21" s="81">
        <v>1.0</v>
      </c>
      <c r="N21" s="81" t="s">
        <v>52</v>
      </c>
      <c r="O21" s="82" t="s">
        <v>53</v>
      </c>
      <c r="P21" s="82" t="s">
        <v>53</v>
      </c>
      <c r="Q21" s="35"/>
      <c r="R21" s="83" t="s">
        <v>54</v>
      </c>
      <c r="S21" s="83" t="s">
        <v>39</v>
      </c>
    </row>
    <row r="22" ht="22.5" customHeight="1">
      <c r="A22" s="23"/>
      <c r="B22" s="84" t="s">
        <v>72</v>
      </c>
      <c r="C22" s="85" t="s">
        <v>113</v>
      </c>
      <c r="D22" s="39" t="s">
        <v>39</v>
      </c>
      <c r="E22" s="41">
        <v>3.0</v>
      </c>
      <c r="F22" s="39" t="s">
        <v>117</v>
      </c>
      <c r="G22" s="39" t="s">
        <v>31</v>
      </c>
      <c r="H22" s="39" t="s">
        <v>36</v>
      </c>
      <c r="I22" s="92" t="s">
        <v>86</v>
      </c>
      <c r="J22" s="43">
        <v>1.0</v>
      </c>
      <c r="K22" s="44"/>
      <c r="L22" s="87">
        <v>180.0</v>
      </c>
      <c r="M22" s="87">
        <v>1.0</v>
      </c>
      <c r="N22" s="87" t="s">
        <v>52</v>
      </c>
      <c r="O22" s="88" t="s">
        <v>53</v>
      </c>
      <c r="P22" s="57" t="s">
        <v>42</v>
      </c>
      <c r="Q22" s="58">
        <v>120.0</v>
      </c>
      <c r="R22" s="89" t="s">
        <v>54</v>
      </c>
      <c r="S22" s="89" t="s">
        <v>39</v>
      </c>
    </row>
    <row r="23" ht="22.5" customHeight="1">
      <c r="A23" s="23"/>
      <c r="B23" s="78" t="s">
        <v>72</v>
      </c>
      <c r="C23" s="79" t="s">
        <v>113</v>
      </c>
      <c r="D23" s="49" t="s">
        <v>58</v>
      </c>
      <c r="E23" s="48">
        <v>4.0</v>
      </c>
      <c r="F23" s="49" t="s">
        <v>97</v>
      </c>
      <c r="G23" s="49" t="s">
        <v>31</v>
      </c>
      <c r="H23" s="49" t="s">
        <v>36</v>
      </c>
      <c r="I23" s="93" t="s">
        <v>40</v>
      </c>
      <c r="J23" s="32">
        <v>1.0</v>
      </c>
      <c r="K23" s="32">
        <v>0.0</v>
      </c>
      <c r="L23" s="34">
        <v>35.0</v>
      </c>
      <c r="M23" s="35"/>
      <c r="N23" s="81" t="s">
        <v>52</v>
      </c>
      <c r="O23" s="82" t="s">
        <v>53</v>
      </c>
      <c r="P23" s="82" t="s">
        <v>53</v>
      </c>
      <c r="Q23" s="35"/>
      <c r="R23" s="83" t="s">
        <v>58</v>
      </c>
      <c r="S23" s="83" t="s">
        <v>34</v>
      </c>
    </row>
    <row r="24" ht="22.5" customHeight="1">
      <c r="A24" s="23"/>
      <c r="B24" s="84" t="s">
        <v>118</v>
      </c>
      <c r="C24" s="85" t="s">
        <v>119</v>
      </c>
      <c r="D24" s="39" t="s">
        <v>120</v>
      </c>
      <c r="E24" s="41">
        <v>1.0</v>
      </c>
      <c r="F24" s="39" t="s">
        <v>121</v>
      </c>
      <c r="G24" s="39" t="s">
        <v>31</v>
      </c>
      <c r="H24" s="39" t="s">
        <v>36</v>
      </c>
      <c r="I24" s="92" t="s">
        <v>86</v>
      </c>
      <c r="J24" s="43">
        <v>2.0</v>
      </c>
      <c r="K24" s="43">
        <v>0.0</v>
      </c>
      <c r="L24" s="54">
        <v>200.0</v>
      </c>
      <c r="M24" s="87">
        <v>3.0</v>
      </c>
      <c r="N24" s="87" t="s">
        <v>52</v>
      </c>
      <c r="O24" s="88" t="s">
        <v>53</v>
      </c>
      <c r="P24" s="94" t="s">
        <v>37</v>
      </c>
      <c r="Q24" s="58">
        <v>60.0</v>
      </c>
      <c r="R24" s="89" t="s">
        <v>54</v>
      </c>
      <c r="S24" s="89" t="s">
        <v>55</v>
      </c>
    </row>
    <row r="25" ht="22.5" customHeight="1">
      <c r="A25" s="23"/>
      <c r="B25" s="78" t="s">
        <v>118</v>
      </c>
      <c r="C25" s="79" t="s">
        <v>119</v>
      </c>
      <c r="D25" s="49" t="s">
        <v>39</v>
      </c>
      <c r="E25" s="48">
        <v>1.0</v>
      </c>
      <c r="F25" s="49" t="s">
        <v>39</v>
      </c>
      <c r="G25" s="49" t="s">
        <v>31</v>
      </c>
      <c r="H25" s="49" t="s">
        <v>36</v>
      </c>
      <c r="I25" s="96" t="s">
        <v>35</v>
      </c>
      <c r="J25" s="32">
        <v>2.0</v>
      </c>
      <c r="K25" s="32">
        <v>0.0</v>
      </c>
      <c r="L25" s="34">
        <v>0.0</v>
      </c>
      <c r="M25" s="81">
        <v>0.0</v>
      </c>
      <c r="N25" s="81" t="s">
        <v>52</v>
      </c>
      <c r="O25" s="82" t="s">
        <v>53</v>
      </c>
      <c r="P25" s="82" t="s">
        <v>53</v>
      </c>
      <c r="Q25" s="35"/>
      <c r="R25" s="83" t="s">
        <v>54</v>
      </c>
      <c r="S25" s="83" t="s">
        <v>39</v>
      </c>
    </row>
    <row r="26" ht="22.5" customHeight="1">
      <c r="A26" s="23"/>
      <c r="B26" s="84" t="s">
        <v>118</v>
      </c>
      <c r="C26" s="85" t="s">
        <v>119</v>
      </c>
      <c r="D26" s="39" t="s">
        <v>39</v>
      </c>
      <c r="E26" s="41">
        <v>2.0</v>
      </c>
      <c r="F26" s="100" t="s">
        <v>122</v>
      </c>
      <c r="G26" s="39" t="s">
        <v>31</v>
      </c>
      <c r="H26" s="39" t="s">
        <v>36</v>
      </c>
      <c r="I26" s="97" t="s">
        <v>38</v>
      </c>
      <c r="J26" s="43">
        <v>1.0</v>
      </c>
      <c r="K26" s="43">
        <v>180.0</v>
      </c>
      <c r="L26" s="54">
        <v>0.0</v>
      </c>
      <c r="M26" s="87">
        <v>1.0</v>
      </c>
      <c r="N26" s="87" t="s">
        <v>62</v>
      </c>
      <c r="O26" s="88" t="s">
        <v>53</v>
      </c>
      <c r="P26" s="88" t="s">
        <v>53</v>
      </c>
      <c r="Q26" s="45"/>
      <c r="R26" s="95" t="s">
        <v>54</v>
      </c>
      <c r="S26" s="89" t="s">
        <v>39</v>
      </c>
    </row>
    <row r="27" ht="22.5" customHeight="1">
      <c r="A27" s="23"/>
      <c r="B27" s="78" t="s">
        <v>118</v>
      </c>
      <c r="C27" s="79" t="s">
        <v>119</v>
      </c>
      <c r="D27" s="49" t="s">
        <v>39</v>
      </c>
      <c r="E27" s="48">
        <v>3.0</v>
      </c>
      <c r="F27" s="49" t="s">
        <v>123</v>
      </c>
      <c r="G27" s="49" t="s">
        <v>31</v>
      </c>
      <c r="H27" s="49" t="s">
        <v>36</v>
      </c>
      <c r="I27" s="80" t="s">
        <v>86</v>
      </c>
      <c r="J27" s="32">
        <v>1.0</v>
      </c>
      <c r="K27" s="32">
        <v>0.0</v>
      </c>
      <c r="L27" s="34">
        <v>180.0</v>
      </c>
      <c r="M27" s="81">
        <v>0.0</v>
      </c>
      <c r="N27" s="81" t="s">
        <v>52</v>
      </c>
      <c r="O27" s="82" t="s">
        <v>53</v>
      </c>
      <c r="P27" s="98" t="s">
        <v>42</v>
      </c>
      <c r="Q27" s="52">
        <v>120.0</v>
      </c>
      <c r="R27" s="101" t="s">
        <v>54</v>
      </c>
      <c r="S27" s="83" t="s">
        <v>39</v>
      </c>
    </row>
    <row r="28" ht="22.5" customHeight="1">
      <c r="A28" s="23"/>
      <c r="B28" s="84" t="s">
        <v>118</v>
      </c>
      <c r="C28" s="85" t="s">
        <v>119</v>
      </c>
      <c r="D28" s="39" t="s">
        <v>58</v>
      </c>
      <c r="E28" s="41">
        <v>4.0</v>
      </c>
      <c r="F28" s="39" t="s">
        <v>97</v>
      </c>
      <c r="G28" s="39" t="s">
        <v>31</v>
      </c>
      <c r="H28" s="39" t="s">
        <v>36</v>
      </c>
      <c r="I28" s="99" t="s">
        <v>40</v>
      </c>
      <c r="J28" s="43">
        <v>1.0</v>
      </c>
      <c r="K28" s="43">
        <v>0.0</v>
      </c>
      <c r="L28" s="54">
        <v>45.0</v>
      </c>
      <c r="M28" s="45"/>
      <c r="N28" s="87" t="s">
        <v>52</v>
      </c>
      <c r="O28" s="88" t="s">
        <v>53</v>
      </c>
      <c r="P28" s="88" t="s">
        <v>53</v>
      </c>
      <c r="Q28" s="45"/>
      <c r="R28" s="95" t="s">
        <v>58</v>
      </c>
      <c r="S28" s="89" t="s">
        <v>34</v>
      </c>
    </row>
  </sheetData>
  <customSheetViews>
    <customSheetView guid="{B201EEE6-683A-45CE-962C-E553C6CF9E9A}" filter="1" showAutoFilter="1">
      <autoFilter ref="$B$8:$S$28"/>
    </customSheetView>
  </customSheetViews>
  <mergeCells count="7">
    <mergeCell ref="B1:C1"/>
    <mergeCell ref="B2:C2"/>
    <mergeCell ref="F2:G5"/>
    <mergeCell ref="B4:C4"/>
    <mergeCell ref="B5:C5"/>
    <mergeCell ref="B6:C6"/>
    <mergeCell ref="F7:H7"/>
  </mergeCells>
  <dataValidations>
    <dataValidation type="list" allowBlank="1" sqref="I9:I28">
      <formula1>"Roteiro de Vídeo,Slide,Plano de Aula,Fórum,Tarefa,PDF (avulso),Tela Interativa,Quiz,Ebook"</formula1>
    </dataValidation>
    <dataValidation type="custom" allowBlank="1" showDropDown="1" sqref="E9:E28 J9:K28">
      <formula1>AND(ISNUMBER(E9),(NOT(OR(NOT(ISERROR(DATEVALUE(E9))), AND(ISNUMBER(E9), LEFT(CELL("format", E9))="D")))))</formula1>
    </dataValidation>
    <dataValidation type="list" allowBlank="1" sqref="O9:P28">
      <formula1>"Não prevista,Quiz,Atividade Aberta,Genially,Portfólio (várias atividades),Idem"</formula1>
    </dataValidation>
    <dataValidation allowBlank="1" showDropDown="1" sqref="B9:B28 D9:D28 F9:H28"/>
  </dataValidations>
  <printOptions gridLines="1" horizontalCentered="1"/>
  <pageMargins bottom="0.75" footer="0.0" header="0.0" left="0.0" right="0.11484111361079867" top="0.75"/>
  <pageSetup fitToHeight="0" paperSize="9" cellComments="atEnd" orientation="landscape" pageOrder="overThenDown"/>
  <drawing r:id="rId1"/>
  <tableParts count="1">
    <tablePart r:id="rId3"/>
  </tableParts>
</worksheet>
</file>