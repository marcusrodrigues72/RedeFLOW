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dade 1" sheetId="1" r:id="rId5"/>
    <sheet state="visible" name="Unidade 2" sheetId="2" r:id="rId6"/>
    <sheet state="visible" name="Unidade 3" sheetId="3" r:id="rId7"/>
    <sheet state="visible" name="Unidade 4" sheetId="4" r:id="rId8"/>
    <sheet state="visible" name="Unidade 5" sheetId="5" r:id="rId9"/>
    <sheet state="visible" name="Unidade 6" sheetId="6" r:id="rId10"/>
    <sheet state="visible" name="Unidade 7" sheetId="7" r:id="rId11"/>
  </sheets>
  <definedNames>
    <definedName hidden="1" localSheetId="0" name="Z_49FF6D53_992D_4646_A2FC_08831FD96999_.wvu.FilterData">'Unidade 1'!$B$8:$S$26</definedName>
    <definedName hidden="1" localSheetId="1" name="Z_49FF6D53_992D_4646_A2FC_08831FD96999_.wvu.FilterData">'Unidade 2'!$B$8:$S$17</definedName>
    <definedName hidden="1" localSheetId="2" name="Z_49FF6D53_992D_4646_A2FC_08831FD96999_.wvu.FilterData">'Unidade 3'!$B$8:$S$23</definedName>
    <definedName hidden="1" localSheetId="3" name="Z_49FF6D53_992D_4646_A2FC_08831FD96999_.wvu.FilterData">'Unidade 4'!$B$8:$S$28</definedName>
    <definedName hidden="1" localSheetId="4" name="Z_49FF6D53_992D_4646_A2FC_08831FD96999_.wvu.FilterData">'Unidade 5'!$B$8:$S$26</definedName>
    <definedName hidden="1" localSheetId="5" name="Z_49FF6D53_992D_4646_A2FC_08831FD96999_.wvu.FilterData">'Unidade 6'!$B$8:$S$28</definedName>
    <definedName hidden="1" localSheetId="6" name="Z_49FF6D53_992D_4646_A2FC_08831FD96999_.wvu.FilterData">'Unidade 7'!$B$8:$S$25</definedName>
  </definedNames>
  <calcPr/>
  <customWorkbookViews>
    <customWorkbookView activeSheetId="0" maximized="1" windowHeight="0" windowWidth="0" guid="{49FF6D53-992D-4646-A2FC-08831FD96999}" name="Nº Capítulo"/>
  </customWorkbookViews>
</workbook>
</file>

<file path=xl/sharedStrings.xml><?xml version="1.0" encoding="utf-8"?>
<sst xmlns="http://schemas.openxmlformats.org/spreadsheetml/2006/main" count="1436" uniqueCount="160">
  <si>
    <t>[Microeletrônica Geral] Matriz Instrucional</t>
  </si>
  <si>
    <t xml:space="preserve">   CH Total Síncrona (h):</t>
  </si>
  <si>
    <r>
      <rPr>
        <rFont val="Arial"/>
        <b/>
        <color rgb="FFCC0000"/>
        <sz val="12.0"/>
      </rPr>
      <t>Atenção:</t>
    </r>
    <r>
      <rPr>
        <rFont val="Arial"/>
        <color rgb="FFCC0000"/>
        <sz val="12.0"/>
      </rPr>
      <t xml:space="preserve"> Não é necessário preencher manualmente a tabela ao lado. Todos os valores serão calculados e atualizados automaticamente por meio das fórmulas já configuradas.</t>
    </r>
  </si>
  <si>
    <t xml:space="preserve">   CH Total Assíncrona (h):</t>
  </si>
  <si>
    <t>Data de Criação: 09/07/2025</t>
  </si>
  <si>
    <t xml:space="preserve">   CH Atividades (h):</t>
  </si>
  <si>
    <t>Carga Horária do Curso: 320h</t>
  </si>
  <si>
    <t xml:space="preserve">   Carga Horária Total (h):</t>
  </si>
  <si>
    <t>Nº Capítulo</t>
  </si>
  <si>
    <t>Nome Capítulo</t>
  </si>
  <si>
    <t>Conteúdo (resumo)</t>
  </si>
  <si>
    <t>Nº Objetivo Educacional</t>
  </si>
  <si>
    <t>Objetivo Educacional</t>
  </si>
  <si>
    <t>Nível (TRB)</t>
  </si>
  <si>
    <t>Papéis e atores</t>
  </si>
  <si>
    <t>Objetos de Aprendizagem</t>
  </si>
  <si>
    <t>Nº Objetos de Aprendizagem</t>
  </si>
  <si>
    <t>CH Síncrona (min)</t>
  </si>
  <si>
    <t>CH Assíncrona  (min)</t>
  </si>
  <si>
    <t>Período (dias)</t>
  </si>
  <si>
    <t>Ferramentas</t>
  </si>
  <si>
    <t>Atividade Formativa</t>
  </si>
  <si>
    <t>Atividade Somativa</t>
  </si>
  <si>
    <t>CH Atividades (min)</t>
  </si>
  <si>
    <t>Atividade Pontuação</t>
  </si>
  <si>
    <t>Feedback</t>
  </si>
  <si>
    <t>1</t>
  </si>
  <si>
    <t>Fundamentos de Linux</t>
  </si>
  <si>
    <t>Introdução aos fundamentos do sistema operacional Linux, incluindo sua estrutura de diretórios e gerenciamento de permissões. Estudo e prática dos principais comandos do terminal para manipulação de arquivos e processos, uso de editores de texto (vim, nano, gedit) e criação de scripts em Bash. Aplicação de redirecionamento, pipes e técnicas de automação para otimizar tarefas no ambiente Linux.</t>
  </si>
  <si>
    <t>Capacitar o aluno a utilizar o Linux de forma prática, compreendendo sua estrutura, comandos essenciais, edição de arquivos e criação de scripts em Bash para automação de tarefas.</t>
  </si>
  <si>
    <t>Compreender (Entendimento) - Descrever, Explicar, Identificar.</t>
  </si>
  <si>
    <t>Estudantes: Participação ativa em discussões e atividades práticas.
Mentores: Facilitação das discussões e orientação nas atividades práticas.</t>
  </si>
  <si>
    <t>Roteiro de Vídeo</t>
  </si>
  <si>
    <t>Idem</t>
  </si>
  <si>
    <t>Slide</t>
  </si>
  <si>
    <t>Quiz</t>
  </si>
  <si>
    <t>Plano de Aula</t>
  </si>
  <si>
    <t>idem</t>
  </si>
  <si>
    <t>Ebook</t>
  </si>
  <si>
    <t>Tarefa</t>
  </si>
  <si>
    <t>Atividade Aberta</t>
  </si>
  <si>
    <t>2</t>
  </si>
  <si>
    <t>Ferramentas de Administração e Versionamento em Linux</t>
  </si>
  <si>
    <t>Este capítulo apresenta recursos essenciais para administração e produtividade no Linux, incluindo instalação e gerenciamento de pacotes com apt e yum, configuração de variáveis de ambiente e shells, manipulação de arquivos de log e debugging de erros comuns. Também aborda o uso de Makefiles para automação de compilação e introduz o Git para versionamento de projetos em HDL.</t>
  </si>
  <si>
    <t>Capacitar o aluno a administrar e configurar o ambiente Linux de forma eficiente, compreendendo o uso de pacotes, variáveis e logs. Desenvolver habilidades em automação de processos com Makefiles e introduzir boas práticas de controle de versão com Git, aplicadas a projetos de desenvolvimento em HDL.</t>
  </si>
  <si>
    <t>3</t>
  </si>
  <si>
    <t>Desenvolvimento e Customização de Imagens com Yocto</t>
  </si>
  <si>
    <t>Este capítulo aborda a arquitetura do Yocto, incluindo BitBake, Poky e layers, setup do ambiente de build, criação de camadas customizadas e definição de recipes. Também cobre customização de kernel e rootfs, construção de imagens mínimas para boards de referência e procedimentos de debug e deploy.</t>
  </si>
  <si>
    <t>Capacitar o aluno a compreender a arquitetura do Yocto e a preparar o ambiente de desenvolvimento para criação e customização de imagens Linux embarcadas. Desenvolver habilidades na criação de layers, definição de recipes, customização de kernel e rootfs, bem como na construção, depuração e deployment de imagens em plataformas de referência.</t>
  </si>
  <si>
    <r>
      <rPr>
        <rFont val="Arial"/>
        <b/>
        <color rgb="FFCC0000"/>
        <sz val="12.0"/>
      </rPr>
      <t>Atenção:</t>
    </r>
    <r>
      <rPr>
        <rFont val="Arial"/>
        <color rgb="FFCC0000"/>
        <sz val="12.0"/>
      </rPr>
      <t xml:space="preserve"> Não é necessário preencher manualmente a tabela ao lado. Todos os valores serão calculados e atualizados automaticamente por meio das fórmulas já configuradas.</t>
    </r>
  </si>
  <si>
    <t>Fundamentos de eletrônica digital 1</t>
  </si>
  <si>
    <t>Este capítulo apresenta os fundamentos essenciais da eletrônica digital, abordando conceitos de Álgebra Booleana e técnicas de simplificação de circuitos. São exploradas as portas lógicas básicas e complexas, bem como o funcionamento e as aplicações de elementos sequenciais como flip-flops, registradores, contadores e multiplexadores.</t>
  </si>
  <si>
    <t>Proporcionar a compreensão dos fundamentos da eletrônica digital, abrangendo a Álgebra Booleana e as técnicas de simplificação de circuitos, o funcionamento das portas lógicas básicas e complexas, bem como a operação e as características de flip-flops, registradores, contadores e multiplexadores, de forma a fundamentar o projeto e a análise de sistemas digitais.</t>
  </si>
  <si>
    <t>Vídeo aula (roteiro</t>
  </si>
  <si>
    <t>AVA</t>
  </si>
  <si>
    <t>Não prevista</t>
  </si>
  <si>
    <t>0-10</t>
  </si>
  <si>
    <t>Ao final do capítulo, feedback via ferramenta de tarefas.</t>
  </si>
  <si>
    <t>Idem.</t>
  </si>
  <si>
    <t>Proporcionar a complementação do conteúdo por meio de encontros síncronos com o tutor,
permitindo que os alunos esclareçam dúvidas surgidas nas videoaulas do capítulo 3.</t>
  </si>
  <si>
    <t>Plataforma de videoconferência</t>
  </si>
  <si>
    <t>Aplicar, de forma prática, os princípios da eletrônica digital utilizando o software Logisim para o estudo da Álgebra Booleana e a simplificação de circuitos, a análise de portas lógicas básicas e complexas, e a investigação do funcionamento de flip-flops, registradores, contadores e multiplexadores, visando desenvolver competências para o projeto e a avaliação de sistemas digitais.</t>
  </si>
  <si>
    <t>Fundamentos de eletrônica digital 2</t>
  </si>
  <si>
    <t>Estudar por este eBook permite ao aluno compreender e aplicar os fundamentos da eletrônica digital, revisando conceitos de Álgebra Booleana, simplificação de circuitos, portas lógicas básicas e complexas, bem como flip-flops, registradores, contadores e multiplexadores. O material possibilita a consulta de explicações detalhadas no próprio ritmo de aprendizagem, preparando o estudante para quizzes, atividades práticas no Logisim e para atuar com segurança nas demandas do campo profissional.</t>
  </si>
  <si>
    <r>
      <rPr>
        <rFont val="Arial"/>
        <b/>
        <color rgb="FFCC0000"/>
        <sz val="12.0"/>
      </rPr>
      <t>Atenção:</t>
    </r>
    <r>
      <rPr>
        <rFont val="Arial"/>
        <color rgb="FFCC0000"/>
        <sz val="12.0"/>
      </rPr>
      <t xml:space="preserve"> Não é necessário preencher manualmente a tabela ao lado. Todos os valores serão calculados e atualizados automaticamente por meio das fórmulas já configuradas.</t>
    </r>
  </si>
  <si>
    <t xml:space="preserve">Estrutura de cristais semicondutores (Si, Ge, GaAs) &amp; Diodo semicondutor
</t>
  </si>
  <si>
    <t>Este capítulo aborda a estrutura de cristais de semicondutores, como silício (Si), germânio (Ge) e arseneto de gálio (GaAs), incluindo seus níveis de energia e a formação de materiais do tipo p e do tipo n. Também apresenta o funcionamento e as características básicas do diodo, como níveis de resistência e capacitância, destacando as diferenças entre o diodo ideal e o prático.</t>
  </si>
  <si>
    <t>Definir a estrutura de cristais semicondutores, abrangendo materiais do tipo p e do tipo n, que constituem a base para a construção de dispositivos CMOS, e proporcionar a compreensão do funcionamento e das características básicas do diodo, incluindo seus níveis de resistência e capacitância, evidenciando as diferenças entre o diodo ideal e o prático para fundamentar aplicações em circuitos eletrônicos.</t>
  </si>
  <si>
    <t xml:space="preserve">Estrutura de cristais semicondutores (Si, Ge, GaAs) &amp; Diodo semicondutor
</t>
  </si>
  <si>
    <t>Proporcionar a complementação do conteúdo por meio de encontros síncronos com o tutor,
permitindo que os alunos esclareçam dúvidas surgidas nas videoaulas do capítulo 7.</t>
  </si>
  <si>
    <t>Proporcionar a aplicação prática dos conceitos de diodos por meio da análise de circuitos no software LTSPICE, verificando seu comportamento e características em diferentes condições de operação.</t>
  </si>
  <si>
    <t>Estudar por este eBook permite ao aluno revisar os temas no seu próprio ritmo, consultar explicações detalhadas sempre que necessário e se preparar melhor para quizzes e atividades práticas. Além disso, o conteúdo foi cuidadosamente organizado para promover uma aprendizagem significativa e alinhada com as competências exigidas no campo profissional.</t>
  </si>
  <si>
    <t>Transistores de efeito de campo (FET)</t>
  </si>
  <si>
    <t>O conteúdo explora os transistores de efeito de campo, detalhando sua estrutura, funcionamento e curvas I-V, com foco no JFET, MOSFETs (depleção e intensificação) e CMOS.
Além disso, aborda configurações de polarização (fixa, autopolarização e por divisor de tensão) e o uso de FET em amplificadores (modelo para pequenos sinais).</t>
  </si>
  <si>
    <t>Entender a estrutura, funcionamento e curvas I-V dos FETs, incluindo JFET, MOSFETs, CMOS, configurações de polarização e amplificadores.</t>
  </si>
  <si>
    <t>0 - 10</t>
  </si>
  <si>
    <t>Proporcionar a complementação do conteúdo por meio de encontros síncronos com o tutor,
permitindo que os alunos esclareçam dúvidas surgidas nas videoaulas do capítulo 8.</t>
  </si>
  <si>
    <t>Aplicar, de forma prática, os princípios de transistores FET através da análise de circuitos no software Proteus, avaliando seu desempenho em diferentes configurações e condições de operação.</t>
  </si>
  <si>
    <t>Estudar por este eBook permite ao aluno revisar os temas no seu próprio ritmo, consultar explicações detalhadas sempre que necessário e se preparar melhor para quiz e atividades práticas. Além disso, o conteúdo foi cuidadosamente organizado para promover uma aprendizagem significativa e alinhada com as competências exigidas no campo profissional.</t>
  </si>
  <si>
    <t>Lógica CMOS</t>
  </si>
  <si>
    <t>O conteúdo contempla a lógica CMOS, abordando sua evolução histórica, os transistores MOS e os principais circuitos lógicos, como inversores, portas NAND, NOR, e estruturas compostas, além de técnicas com transistores de passagem e multiplexadores.</t>
  </si>
  <si>
    <t>Entender o funcionamento teórico dos transistores MOS, em especial, trabalhando como invesor, NAND e NOR.</t>
  </si>
  <si>
    <t>Proporcionar a complementação do conteúdo por meio de encontros síncronos com o tutor,
permitindo que os alunos esclareçam dúvidas surgidas nas videoaulas do capítulo 9.</t>
  </si>
  <si>
    <t>Promover a aplicação prática dos conceitos de CMOS por meio do projeto de um inversor no software Proteus, avaliando seu desempenho e características em diferentes condições de operação.</t>
  </si>
  <si>
    <r>
      <rPr>
        <rFont val="Arial"/>
        <b/>
        <color rgb="FFCC0000"/>
        <sz val="12.0"/>
      </rPr>
      <t>Atenção:</t>
    </r>
    <r>
      <rPr>
        <rFont val="Arial"/>
        <color rgb="FFCC0000"/>
        <sz val="12.0"/>
      </rPr>
      <t xml:space="preserve"> Não é necessário preencher manualmente a tabela ao lado. Todos os valores serão calculados e atualizados automaticamente por meio das fórmulas já configuradas.</t>
    </r>
  </si>
  <si>
    <t>Introdução a fabricação e layout CMOS</t>
  </si>
  <si>
    <t>O conteúdo aborda a fabricação e layout CMOS (incluindo o inversor, processo, regras e layouts) e a divisão do projeto com ênfase em design lógico, hierarquia e linguagens de descrição de hardware.</t>
  </si>
  <si>
    <t>O conteúdo abrange a fabricação e layout CMOS, além da divisão do projeto com design lógico, hierarquia e linguagens de descrição de hardware.</t>
  </si>
  <si>
    <t>Desenvolver e aplicar conhecimentos práticos na criação de projetos de PCB utilizando o AltiumCad, desde a concepção do layout até a geração dos arquivos para fabricação, integrando teoria e prática em eletrônica. (parte 1)</t>
  </si>
  <si>
    <t>Fabricação e layout CMOS</t>
  </si>
  <si>
    <t xml:space="preserve">  </t>
  </si>
  <si>
    <t>Compreender os processos e etapas críticos na fabricação e layout CMOS, desde a formação do wafer até a passivação final, enfatizando técnicas como fotolitografia, formação de well, isolamento com SiO₂, construção de gate e drain, além de contatos, metalização e metrologia.</t>
  </si>
  <si>
    <t>Proporcionar a complementação do conteúdo por meio de encontros síncronos com o tutor,
permitindo que os alunos esclareçam dúvidas surgidas nas videoaulas do capítulo 1.</t>
  </si>
  <si>
    <t>Desenvolver e aplicar conhecimentos práticos na criação de projetos de PCB utilizando o AltiumCad, desde a concepção do layout até a geração dos arquivos para fabricação, integrando teoria e prática em eletrônica. (parte 2)</t>
  </si>
  <si>
    <t>Melhorias no processo CMOS e problemas de fabricação</t>
  </si>
  <si>
    <t>O conteúdo aborda as principais regras de projeto de layout, iniciando com os fundamentos e evoluindo para detalhes específicos como regras de contato, metalização e vias.
Inclui a definição de estruturas auxiliares, como a scribe line, e destaca as particularidades dos projetos CMOS escaláveis (λ based - MOSIS) e em micron.
A síntese dessas regras visa garantir precisão e eficiência na implementação de circuitos integrados avançados.</t>
  </si>
  <si>
    <t>Desenvolver a capacidade de aplicar, de forma prática e teórica, as regras de projeto de layout, explorando desde os fundamentos e o background das regras até os detalhes dos contatos, metalização, vias e estruturas como scribe line. Além disso, aprofundar os conhecimentos em projetos CMOS escaláveis (λ based - MOSIS) e em micron, integrando as normas de projeto para garantir precisão e eficiência em circuitos avançados.</t>
  </si>
  <si>
    <t>Proporcionar a complementação do conteúdo por meio de encontros síncronos com o tutor,
permitindo que os alunos esclareçam dúvidas surgidas nas videoaulas do capítulo 12.</t>
  </si>
  <si>
    <t>Desenvolver habilidades de projeto e simulação de dispositivos NMOS utilizando o software MicroWind, permitindo aos alunos aplicar conceitos teóricos na prática e aprimorar competências em microeletrônica.</t>
  </si>
  <si>
    <t>4</t>
  </si>
  <si>
    <t>Regras de projeto de layout</t>
  </si>
  <si>
    <t>O conteúdo explora melhorias no processo CMOS, abrangendo tecnologias avançadas como SOI, gates high-k, silício tensionado, FINFETs, semicondutores III-V e nanotubos de carbono, além dos desafios de migração para processos de última geração.
São detalhadas regras e diretrizes de projeto, como regras de antena, densidade de camada, resolução, ranhura de metal, além de estratégias para mitigar efeitos parasitários e otimizar o rendimento.
Aborda ainda o fluxo completo do design, desde a conclusão do projeto até o tapeout, enfatizando a evolução do layout e o encapsulamento de circuitos integrados.</t>
  </si>
  <si>
    <t>Capacitar os alunos a implementar melhorias no processo CMOS e resolver desafios de fabricação aplicando regras técnicas específicas e inovações além do convencional.</t>
  </si>
  <si>
    <t>Proporcionar a complementação do conteúdo por meio de encontros síncronos com o tutor,
permitindo que os alunos esclareçam dúvidas surgidas nas videoaulas do capítulo 13.</t>
  </si>
  <si>
    <t>Desenvolver habilidades de projeto e simulação de dispositivos PMOS utilizando o software MicroWind, capacitando os alunos a aplicar conhecimentos teóricos na prática e aprimorar competências em eletrônica.</t>
  </si>
  <si>
    <r>
      <rPr>
        <rFont val="Arial"/>
        <b/>
        <color rgb="FFCC0000"/>
        <sz val="12.0"/>
      </rPr>
      <t>Atenção:</t>
    </r>
    <r>
      <rPr>
        <rFont val="Arial"/>
        <color rgb="FFCC0000"/>
        <sz val="12.0"/>
      </rPr>
      <t xml:space="preserve"> Não é necessário preencher manualmente a tabela ao lado. Todos os valores serão calculados e atualizados automaticamente por meio das fórmulas já configuradas.</t>
    </r>
  </si>
  <si>
    <t>Projeto Hierárquico de Sistemas Digitais e Introdução à Linguagem HDL (SystemVerilog)</t>
  </si>
  <si>
    <t>Apresentar a importância do projeto hierárquico para gerenciar a complexidade de sistemas digitais. Introduzir a linguagem HDL, SystemVerilog, explicando a modelagem comportamental (o que o circuito faz) e a modelagem estrutural (como ele é conectado).</t>
  </si>
  <si>
    <t>Apresentar os conceitos de projeto hierárquico e a sintaxe básica da linguagem SystemVerilog, focando nas diferenças entre a modelagem comportamental e estrutural. O objetivo é introduzir os alunos aos princípios fundamentais que guiarão o desenvolvimento de circuitos digitais.</t>
  </si>
  <si>
    <t>Estudantes: Participação ativa em discussões e atividades práticas.
Mentores: Facilitação das discussões e orientação nas atividades práticas.</t>
  </si>
  <si>
    <t>Aprofundar os tópicos com exemplos de código mais complexos, tabelas de sintaxe e diagramas. O objetivo é servir como um material de referência detalhado, permitindo que os alunos revisem conceitos de modelagem e projeto hierárquico de forma autônoma.</t>
  </si>
  <si>
    <t>Fornecer um guia para que o monitor auxilie os alunos a escrever e depurar scripts simples em SystemVerilog. O objetivo é que o monitor possa tirar dúvidas sobre a estrutura do código e a aplicação prática do conceito de hierarquia em um projeto.</t>
  </si>
  <si>
    <t>Demonstrar como configurar um projeto, escrever um testbench inicial e rodar a primeira simulação de um módulo simples em SystemVerilog. O objetivo é que os alunos se familiarizem com o ambiente de simulação para verificar o funcionamento de seus primeiros projetos.</t>
  </si>
  <si>
    <t>FSM (Máquinas de Estado Finito): Mealy e Moore</t>
  </si>
  <si>
    <t>Estudar as Máquinas de Estado Finito (FSMs), comparando os modelos Mealy e Moore, e como implementá-los usando HDL. Mealy depende da entrada e do estado atual, e Moore depende apenas do estado atual.</t>
  </si>
  <si>
    <t>Explicar a teoria por trás das FSMs, ilustrando as diferenças e similaridades entre os modelos Mealy e Moore. O objetivo é que os alunos compreendam quando e como usar cada tipo de máquina de estado.</t>
  </si>
  <si>
    <t>Incluir um guia passo a passo para o projeto de FSMs, desde a criação do diagrama de estados até a implementação do código. O objetivo é oferecer um material completo que permita aos alunos desenvolver FSMs mais complexas de forma independente.</t>
  </si>
  <si>
    <t>Preparar o monitor para guiar os alunos na implementação prática de uma FSM em SystemVerilog. O objetivo é que o monitor ajude a resolver problemas comuns de lógica e estados, garantindo que o aluno consiga projetar e simular uma FSM funcional.</t>
  </si>
  <si>
    <t>Considerações de Clock, Simulação e Análise Temporal Básica</t>
  </si>
  <si>
    <t>Estudar os impactos da miniaturização dos dispositivos e os novos desafios do projeto. Abordar os conceitos de temporização, como clock, setup/hold, skew e race condition. Apresentar como realizar a simulação lógica para verificar o comportamento do circuito e como fazer uma análise temporal básica para garantir que o circuito funcione corretamente em alta velocidade.</t>
  </si>
  <si>
    <t>Focar nos conceitos de sincronização de clock, setup/hold, skew e race condition. O objetivo é que os alunos entendam a importância da temporização em projetos digitais síncronos e os desafios que surgem com a miniaturização dos dispositivos.</t>
  </si>
  <si>
    <t xml:space="preserve"> Fornecer uma seção detalhada sobre a teoria da análise estática de tempo (STA) e as melhores práticas de projeto para evitar problemas de temporização. O objetivo é aprofundar o conhecimento técnico dos alunos sobre a verificação de projetos digitais.</t>
  </si>
  <si>
    <t>Preparar o monitor para conduzir a análise de um relatório de tempo e identificar falhas de setup ou hold. O objetivo é que os alunos compreendam o impacto do atraso do sinal no circuito.</t>
  </si>
  <si>
    <r>
      <rPr>
        <rFont val="Arial"/>
        <b/>
        <color rgb="FFCC0000"/>
        <sz val="12.0"/>
      </rPr>
      <t>Atenção:</t>
    </r>
    <r>
      <rPr>
        <rFont val="Arial"/>
        <color rgb="FFCC0000"/>
        <sz val="12.0"/>
      </rPr>
      <t xml:space="preserve"> Não é necessário preencher manualmente a tabela ao lado. Todos os valores serão calculados e atualizados automaticamente por meio das fórmulas já configuradas.</t>
    </r>
  </si>
  <si>
    <t>Fundamentos e Modelagem de Atraso</t>
  </si>
  <si>
    <t>Este capítulo abrange desde a introdução, definições e otimização de timing, até a modelagem do atraso por meio do modelo RC e a determinação da resistência efetiva, incluindo a análise de capacitâncias de gate e difusão e o cálculo do Elmore Delay.
A abordagem proporciona uma base sólida para entender a influência do layout na capacitância e os primeiros passos para a determinação precisa dos parâmetros de atraso.</t>
  </si>
  <si>
    <t>Capacitar os alunos a compreender os conceitos básicos e os modelos iniciais de atraso em circuitos digitais, possibilitando a análise de parâmetros essenciais e a aplicação prática dos conceitos de resposta transitória e modelo RC.</t>
  </si>
  <si>
    <t>Proporcionar a complementação do conteúdo por meio de encontros síncronos com o tutor,
permitindo que os alunos esclareçam dúvidas surgidas nas videoaulas do capítulo 14.</t>
  </si>
  <si>
    <t>Capacitar os alunos a projetar e simular um inversor utilizando o software MicroWind, integrando conceitos teóricos com práticas de design de circuitos para aprimorar habilidades técnicas e analíticas.</t>
  </si>
  <si>
    <t>Otimização do processo CMOS: Potência</t>
  </si>
  <si>
    <t>Este capítulo aborda os principais conceitos relacionados ao consumo de potência em circuitos CMOS, com ênfase na potência dinâmica e estática, além de técnicas de otimização atraso-energia. A discussão inclui fatores como atividade de comutação, capacitância de carga, tensão de alimentação, frequência de operação e corrente de curto-circuito. Também são exploradas as fontes de potência estática, estratégias de desligamento de energia, uso de múltiplos valores de threshold e técnicas como tensões de threshold variáveis e controle de vetor de entrada. Por fim, o capítulo apresenta o processo de otimização visando energia mínima, produto atraso-energia mínimo e energia mínima sob restrições de atraso.</t>
  </si>
  <si>
    <t>Desenvolver a capacidade dos alunos de analisar e aplicar conceitos de potência dinâmica e estática em circuitos CMOS, integrando estratégias de otimização atraso-energia para projetar sistemas digitais energeticamente eficientes e com desempenho equilibrado.</t>
  </si>
  <si>
    <t>Proporcionar a complementação do conteúdo por meio de encontros síncronos com o tutor,
permitindo que os alunos esclareçam dúvidas surgidas nas videoaulas do capítulo 18.</t>
  </si>
  <si>
    <t>Desenvolver habilidades práticas na utilização do software MicroWind para o projeto e simulação de uma porta NAND, integrando conceitos teóricos de circuitos digitais com a aplicação prática em ferramentas de design e análise.</t>
  </si>
  <si>
    <t>Otimização do processo CMOS: Interconexões</t>
  </si>
  <si>
    <t>Este capítulo aborda os efeitos das interconexões em circuitos integrados, com ênfase na modelagem elétrica dos fios, considerando resistência, capacitância, indutância e efeitos como skin effect e dependência térmica. A análise inclui o impacto das interconexões no atraso, consumo de energia, crosstalk e efeitos indutivos, destacando estratégias de engenharia como o uso de repetidores, controle de espaçamento, seleção de camadas, técnicas de sinalização de baixa oscilação e regeneradores para mitigar degradações no desempenho do sinal.</t>
  </si>
  <si>
    <t>Desenvolver a capacidade dos alunos de modelar, analisar e projetar interconexões em circuitos integrados, considerando efeitos elétricos e físicos como resistência, capacitância, indutância e crosstalk, e aplicando técnicas de engenharia para otimizar o desempenho e a integridade do sinal.</t>
  </si>
  <si>
    <t>Proporcionar a complementação do conteúdo por meio de encontros síncronos com o tutor,
permitindo que os alunos esclareçam dúvidas surgidas nas videoaulas do capítulo 19.</t>
  </si>
  <si>
    <t>Desenvolver habilidades práticas na utilização do software MicroWind para o projeto e simulação de uma porta NOR, integrando conceitos teóricos de circuitos digitais com a aplicação prática em ferramentas de design e análise.</t>
  </si>
  <si>
    <t>Otimização do processo CMOS: Robustez</t>
  </si>
  <si>
    <t>Este capítulo aborda os desafios relacionados à robustez em circuitos integrados, com ênfase na variabilidade de parâmetros como tensão de alimentação, temperatura e processo de fabricação, além da análise dos design corners. São discutidos conceitos fundamentais de confiabilidade, incluindo desgaste do óxido e das interconexões, erros suaves, falhas por sobretensão e fenômenos como latchup. O capítulo também explora o escalonamento de transistores e interconexões, considerando diretrizes do Roteiro Tecnológico Internacional para Semicondutores e seus impactos no projeto de sistemas digitais resilientes.</t>
  </si>
  <si>
    <t>Desenvolver a capacidade dos alunos de compreender e aplicar princípios de robustez e confiabilidade no projeto de circuitos integrados, considerando variabilidades de processo, tensão e temperatura, além dos impactos do escalonamento tecnológico e das diretrizes do Roteiro Tecnológico Internacional para Semicondutores.</t>
  </si>
  <si>
    <t>Desenvolver a capacidade dos alunos de projetar, simular e validar circuitos CMOS utilizando a ferramenta Microwind, integrando conhecimentos sobre atraso, consumo de potência, interconexões e robustez, com foco na criação de soluções funcionais e otimizadas para aplicações digitais em escala nanométrica.</t>
  </si>
  <si>
    <r>
      <rPr>
        <rFont val="Arial"/>
        <b/>
        <color rgb="FFCC0000"/>
        <sz val="12.0"/>
      </rPr>
      <t>Atenção:</t>
    </r>
    <r>
      <rPr>
        <rFont val="Arial"/>
        <color rgb="FFCC0000"/>
        <sz val="12.0"/>
      </rPr>
      <t xml:space="preserve"> Não é necessário preencher manualmente a tabela ao lado. Todos os valores serão calculados e atualizados automaticamente por meio das fórmulas já configuradas.</t>
    </r>
  </si>
  <si>
    <t>ASIC FLOW 1</t>
  </si>
  <si>
    <t xml:space="preserve"> Este capítulo aborda o fluxo de projeto (Design Flow) de circuitos integrados, explorando sua evolução histórica, a era da integração em larga escala, o uso de ferramentas incrementais, o conceito de acesso esparso e os desafios previstos para o futuro. A análise inclui a síntese lógica, desde a conversão RTL até as etapas de minimização em dois e múltiplos níveis, passando pela modelagem de bibliotecas, análise de tempo estático (STA) e síntese física, destacando a importância de cada fase para garantir desempenho, área e consumo de energia otimizados no projeto final.</t>
  </si>
  <si>
    <t>Desenvolver a capacidade dos alunos de compreender e aplicar o fluxo de projeto (Design Flow) de circuitos integrados, desde sua evolução e conceitos fundamentais até as etapas avançadas de síntese lógica. Capacitar para realizar minimizações em dois e múltiplos níveis, modelar bibliotecas, efetuar análise de tempo estático (STA) e conduzir a síntese física, utilizando ferramentas adequadas e considerando os desafios e tendências futuras da área.</t>
  </si>
  <si>
    <t>ASIC FLOW 2</t>
  </si>
  <si>
    <t>Este capítulo aborda a Síntese de Lógica Combinacional, que é a ponte entre a descrição de alto nível (RTL) e o netlist físico de portas. A discussão inicia com a otimização de expressões booleanas, explorando técnicas como a minimização e a fatoração algébrica para reduzir a área e a complexidade da lógica. Em seguida, o texto detalha o processo de mapeamento tecnológico (Technology Mapping), que traduz o circuito otimizado para a biblioteca de células padrão específica da fundição, analisando os trade-offs de velocidade e área em cada porta. Por fim, o capítulo enfatiza a Verificação Formal de Equivalência (Formal Equivalence Checking), explorando a aplicação da lógica booleana para garantir, de forma matemática, que as transformações implementadas preservem o comportamento funcional original do sistema, o que é um passo indispensável para o Design Closure de chips complexos.</t>
  </si>
  <si>
    <t>Desenvolver a capacidade dos alunos de analisar e otimizar a complexidade lógica de um circuito, aplicando técnicas de minimização e fatoração algébrica para reduzir a área e o atraso. Capacitar para utilizar algoritmos de mapeamento tecnológico para traduzir o circuito otimizado à biblioteca de células padrão, balanceando as restrições de velocidade versus área. Por fim, garantir a proficiência na Verificação Formal de Equivalência (Formal Equivalence Checking) e nos fundamentos da lógica booleana, assegurando a correção funcional e a integridade do projeto após todas as fases de síntese e otimização.</t>
  </si>
  <si>
    <t>ASIC FLOW 3</t>
  </si>
  <si>
    <t>Este capítulo aborda a alocação de células (placement) no layout digital, detalhando a etapa global de posicionamento, o refinamento do placement e a correção legal, além de apresentar avanços recentes em técnicas de posicionamento para otimização de desempenho e área. Também trata da análise estática de tempo (STA), explorando modelos de atraso em níveis lógicos, a verificação de atrasos em circuitos combinacionais e a análise temporal em circuitos sequenciais, incluindo o impacto de variações de processo, tensão e temperatura sobre o funcionamento do projeto.</t>
  </si>
  <si>
    <t>Desenvolver a capacidade dos alunos de compreender e aplicar técnicas de alocação de células no layout digital, desde o posicionamento global até o refinamento e a correção legal, incorporando práticas e avanços recentes da área. Capacitar para realizar análise estática de tempo (STA), utilizando modelos de atraso para verificar circuitos combinacionais e sequenciais, considerando efeitos de variações de processo, tensão e temperatura, de modo a assegurar a confiabilidade e o desempenho do projeto.</t>
  </si>
  <si>
    <t>ASIC FLOW 4</t>
  </si>
  <si>
    <t>Este capítulo aborda o roteamento em projetos digitais, apresentando técnicas para conexões simples e multinet, análise de congestionamento, avaliação de atraso e slew, bem como estratégias específicas para o roteamento de sinais de clock. São discutidas também abordagens modernas de interconexão para otimizar desempenho e integridade do sinal. Em seguida, explora-se o gate sizing, incluindo modelos de atraso e algoritmos práticos para dimensionamento de portas lógicas, visando o balanceamento entre velocidade, consumo de energia e área ocupada no chip.</t>
  </si>
  <si>
    <t>Desenvolver a capacidade dos alunos de compreender e aplicar técnicas de roteamento, desde conexões simples até redes multinets, avaliando congestionamento, atraso, slew e implementando estratégias eficientes para roteamento de clock e interconexões modernas. Capacitar para utilizar métodos de gate sizing, aplicando modelos de atraso e algoritmos práticos para otimizar desempenho, consumo e área em projetos digitais.</t>
  </si>
  <si>
    <t>5</t>
  </si>
  <si>
    <t>ASIC FLOW 5</t>
  </si>
  <si>
    <t>Este capítulo apresenta uma visão integrada do design de circuitos integrados, unificando o fluxo de design closure no nível do chip com a abordagem sistêmica de Chip-Package Co-design. A abordagem detalha as práticas de implementação, desde a descrição RTL até o roteamento e as otimizações finais, como a Síntese de Árvore de Clock (CTS), que garantem a robustez do projeto. A discussão expande-se para a interação do chip com o sistema, explicando como a metodologia de co-design colaborativo entre chip, encapsulamento e placa é crucial para resolver desafios complexos de integridade de sinal e potência. São exploradas, ainda, as tecnologias de encapsulamento avançado 2.5D/3D e a fase de Pathfinding como estratégias indispensáveis para otimizar o desempenho, o custo e a confiabilidade do produto final.</t>
  </si>
  <si>
    <t>Capacitar os alunos para conduzir o processo de design closure de forma integrada, desde o RTL até a verificação final, considerando a metodologia de Chip-Package Co-design como parte essencial do fluxo. Desenvolver a habilidade de analisar e resolver desafios sistêmicos, como integridade de sinal e gerenciamento de potência, aplicando otimizações no nível do chip (incluindo CTS e mitigação de variabilidade) e do encapsulamento (utilizando tecnologias 2.5D/3D). O objetivo é assegurar que as restrições de custo, desempenho e confiabilidade sejam atendidas para garantir a robustez e a qualidade do produto final.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</si>
</sst>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h]:mm"/>
  </numFmts>
  <fonts count="21">
    <font>
      <sz val="10.0"/>
      <color rgb="FF000000"/>
      <name val="Arial"/>
      <scheme val="minor"/>
    </font>
    <font>
      <color theme="1"/>
      <name val="Nunito"/>
    </font>
    <font>
      <b/>
      <sz val="16.0"/>
      <color theme="1"/>
      <name val="Nunito"/>
    </font>
    <font/>
    <font>
      <b/>
      <sz val="14.0"/>
      <color theme="1"/>
      <name val="Nunito"/>
    </font>
    <font>
      <b/>
      <sz val="11.0"/>
      <color theme="1"/>
      <name val="Arial"/>
    </font>
    <font>
      <color rgb="FF0B5394"/>
      <name val="Arial"/>
    </font>
    <font>
      <sz val="12.0"/>
      <color rgb="FFCC0000"/>
      <name val="Arial"/>
    </font>
    <font>
      <b/>
      <sz val="11.0"/>
      <color theme="1"/>
      <name val="Nunito"/>
    </font>
    <font>
      <color rgb="FF990000"/>
      <name val="Arial"/>
    </font>
    <font>
      <sz val="11.0"/>
      <color theme="1"/>
      <name val="Nunito"/>
    </font>
    <font>
      <color theme="1"/>
      <name val="Arial"/>
      <scheme val="minor"/>
    </font>
    <font>
      <color theme="1"/>
      <name val="Arial"/>
    </font>
    <font>
      <color rgb="FF434343"/>
      <name val="Nunito"/>
    </font>
    <font>
      <color rgb="FF11734B"/>
      <name val="Nunito"/>
    </font>
    <font>
      <color rgb="FF434343"/>
      <name val="Roboto"/>
    </font>
    <font>
      <color rgb="FF473821"/>
      <name val="Nunito"/>
    </font>
    <font>
      <color rgb="FF3D3D3D"/>
      <name val="Nunito"/>
    </font>
    <font>
      <color rgb="FF0A53A8"/>
      <name val="Nunito"/>
    </font>
    <font>
      <color rgb="FFE5CFF2"/>
      <name val="Nunito"/>
    </font>
    <font>
      <color rgb="FF434343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284E3F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wrapText="1"/>
    </xf>
    <xf borderId="2" fillId="0" fontId="2" numFmtId="49" xfId="0" applyAlignment="1" applyBorder="1" applyFont="1" applyNumberFormat="1">
      <alignment horizontal="left" readingOrder="0" shrinkToFit="0" vertical="top" wrapText="0"/>
    </xf>
    <xf borderId="3" fillId="0" fontId="3" numFmtId="0" xfId="0" applyBorder="1" applyFont="1"/>
    <xf borderId="1" fillId="0" fontId="1" numFmtId="0" xfId="0" applyAlignment="1" applyBorder="1" applyFont="1">
      <alignment horizontal="left" readingOrder="0" shrinkToFit="0" wrapText="1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2" fillId="0" fontId="4" numFmtId="49" xfId="0" applyAlignment="1" applyBorder="1" applyFont="1" applyNumberFormat="1">
      <alignment horizontal="left" readingOrder="0" shrinkToFit="0" vertical="top" wrapText="0"/>
    </xf>
    <xf borderId="4" fillId="0" fontId="5" numFmtId="0" xfId="0" applyAlignment="1" applyBorder="1" applyFont="1">
      <alignment vertical="center"/>
    </xf>
    <xf borderId="5" fillId="0" fontId="6" numFmtId="164" xfId="0" applyAlignment="1" applyBorder="1" applyFont="1" applyNumberFormat="1">
      <alignment horizontal="center"/>
    </xf>
    <xf borderId="0" fillId="0" fontId="7" numFmtId="0" xfId="0" applyAlignment="1" applyFont="1">
      <alignment horizontal="center" shrinkToFit="0" vertical="center" wrapText="1"/>
    </xf>
    <xf borderId="4" fillId="0" fontId="5" numFmtId="0" xfId="0" applyAlignment="1" applyBorder="1" applyFont="1">
      <alignment vertical="center"/>
    </xf>
    <xf borderId="6" fillId="0" fontId="1" numFmtId="0" xfId="0" applyAlignment="1" applyBorder="1" applyFont="1">
      <alignment horizontal="left" readingOrder="0" shrinkToFit="0" wrapText="1"/>
    </xf>
    <xf borderId="7" fillId="0" fontId="3" numFmtId="0" xfId="0" applyBorder="1" applyFont="1"/>
    <xf borderId="4" fillId="0" fontId="8" numFmtId="49" xfId="0" applyAlignment="1" applyBorder="1" applyFont="1" applyNumberFormat="1">
      <alignment vertical="center"/>
    </xf>
    <xf borderId="5" fillId="0" fontId="9" numFmtId="164" xfId="0" applyAlignment="1" applyBorder="1" applyFont="1" applyNumberFormat="1">
      <alignment horizontal="center"/>
    </xf>
    <xf borderId="1" fillId="0" fontId="2" numFmtId="49" xfId="0" applyAlignment="1" applyBorder="1" applyFont="1" applyNumberFormat="1">
      <alignment horizontal="left" readingOrder="0" shrinkToFit="0" wrapText="0"/>
    </xf>
    <xf borderId="6" fillId="0" fontId="1" numFmtId="0" xfId="0" applyAlignment="1" applyBorder="1" applyFont="1">
      <alignment horizontal="left" readingOrder="0" shrinkToFit="0" wrapText="0"/>
    </xf>
    <xf borderId="8" fillId="0" fontId="3" numFmtId="0" xfId="0" applyBorder="1" applyFont="1"/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9" fillId="0" fontId="1" numFmtId="49" xfId="0" applyAlignment="1" applyBorder="1" applyFont="1" applyNumberFormat="1">
      <alignment horizontal="left" readingOrder="0" shrinkToFit="0" vertical="center" wrapText="1"/>
    </xf>
    <xf borderId="0" fillId="0" fontId="10" numFmtId="0" xfId="0" applyAlignment="1" applyFont="1">
      <alignment readingOrder="0" shrinkToFit="0" vertical="center" wrapText="0"/>
    </xf>
    <xf borderId="0" fillId="0" fontId="11" numFmtId="49" xfId="0" applyAlignment="1" applyFont="1" applyNumberFormat="1">
      <alignment readingOrder="0" shrinkToFit="0" vertical="center" wrapText="1"/>
    </xf>
    <xf borderId="10" fillId="0" fontId="1" numFmtId="0" xfId="0" applyAlignment="1" applyBorder="1" applyFont="1">
      <alignment horizontal="center" readingOrder="0" shrinkToFit="0" vertical="center" wrapText="1"/>
    </xf>
    <xf borderId="0" fillId="0" fontId="10" numFmtId="49" xfId="0" applyAlignment="1" applyFont="1" applyNumberFormat="1">
      <alignment horizontal="left" readingOrder="0" shrinkToFit="0" vertical="top" wrapText="1"/>
    </xf>
    <xf borderId="10" fillId="0" fontId="1" numFmtId="49" xfId="0" applyAlignment="1" applyBorder="1" applyFont="1" applyNumberFormat="1">
      <alignment horizontal="center" readingOrder="0" shrinkToFit="0" vertical="center" wrapText="1"/>
    </xf>
    <xf borderId="10" fillId="0" fontId="1" numFmtId="49" xfId="0" applyAlignment="1" applyBorder="1" applyFont="1" applyNumberFormat="1">
      <alignment horizontal="left" readingOrder="0" shrinkToFit="0" vertical="center" wrapText="1"/>
    </xf>
    <xf borderId="10" fillId="0" fontId="1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horizontal="center" readingOrder="0" shrinkToFit="0" vertical="center" wrapText="0"/>
    </xf>
    <xf borderId="10" fillId="0" fontId="1" numFmtId="0" xfId="0" applyAlignment="1" applyBorder="1" applyFont="1">
      <alignment horizontal="center" readingOrder="0" shrinkToFit="0" vertical="center" wrapText="0"/>
    </xf>
    <xf borderId="10" fillId="0" fontId="1" numFmtId="0" xfId="0" applyAlignment="1" applyBorder="1" applyFont="1">
      <alignment horizontal="center"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0" fillId="0" fontId="11" numFmtId="0" xfId="0" applyAlignment="1" applyFont="1">
      <alignment readingOrder="0" shrinkToFit="0" vertical="center" wrapText="1"/>
    </xf>
    <xf borderId="10" fillId="0" fontId="1" numFmtId="49" xfId="0" applyAlignment="1" applyBorder="1" applyFont="1" applyNumberFormat="1">
      <alignment horizontal="left" readingOrder="0" shrinkToFit="0" vertical="top" wrapText="1"/>
    </xf>
    <xf borderId="10" fillId="0" fontId="1" numFmtId="0" xfId="0" applyAlignment="1" applyBorder="1" applyFont="1">
      <alignment horizontal="left" readingOrder="0" shrinkToFit="0" vertical="center" wrapText="1"/>
    </xf>
    <xf borderId="10" fillId="0" fontId="1" numFmtId="0" xfId="0" applyAlignment="1" applyBorder="1" applyFont="1">
      <alignment horizontal="left" readingOrder="0" shrinkToFit="0" vertical="center" wrapText="1"/>
    </xf>
    <xf borderId="10" fillId="0" fontId="1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center" readingOrder="0" shrinkToFit="0" wrapText="1"/>
    </xf>
    <xf borderId="10" fillId="0" fontId="1" numFmtId="0" xfId="0" applyAlignment="1" applyBorder="1" applyFont="1">
      <alignment readingOrder="0" shrinkToFit="0" vertical="center" wrapText="0"/>
    </xf>
    <xf borderId="1" fillId="0" fontId="12" numFmtId="49" xfId="0" applyAlignment="1" applyBorder="1" applyFont="1" applyNumberFormat="1">
      <alignment vertical="bottom"/>
    </xf>
    <xf borderId="11" fillId="2" fontId="13" numFmtId="49" xfId="0" applyAlignment="1" applyBorder="1" applyFill="1" applyFont="1" applyNumberFormat="1">
      <alignment readingOrder="0" shrinkToFit="0" vertical="center" wrapText="1"/>
    </xf>
    <xf borderId="10" fillId="2" fontId="13" numFmtId="0" xfId="0" applyAlignment="1" applyBorder="1" applyFont="1">
      <alignment shrinkToFit="0" vertical="center" wrapText="1"/>
    </xf>
    <xf borderId="10" fillId="2" fontId="13" numFmtId="49" xfId="0" applyAlignment="1" applyBorder="1" applyFont="1" applyNumberFormat="1">
      <alignment shrinkToFit="0" vertical="center" wrapText="1"/>
    </xf>
    <xf borderId="10" fillId="2" fontId="12" numFmtId="0" xfId="0" applyAlignment="1" applyBorder="1" applyFont="1">
      <alignment horizontal="left" readingOrder="0" shrinkToFit="0" vertical="center" wrapText="0"/>
    </xf>
    <xf borderId="10" fillId="2" fontId="13" numFmtId="49" xfId="0" applyAlignment="1" applyBorder="1" applyFont="1" applyNumberFormat="1">
      <alignment readingOrder="0" shrinkToFit="0" vertical="center" wrapText="1"/>
    </xf>
    <xf borderId="10" fillId="2" fontId="12" numFmtId="49" xfId="0" applyAlignment="1" applyBorder="1" applyFont="1" applyNumberFormat="1">
      <alignment readingOrder="0" shrinkToFit="0" vertical="center" wrapText="0"/>
    </xf>
    <xf borderId="10" fillId="2" fontId="14" numFmtId="0" xfId="0" applyAlignment="1" applyBorder="1" applyFont="1">
      <alignment readingOrder="0" shrinkToFit="0" vertical="center" wrapText="0"/>
    </xf>
    <xf borderId="10" fillId="2" fontId="12" numFmtId="0" xfId="0" applyAlignment="1" applyBorder="1" applyFont="1">
      <alignment horizontal="center" readingOrder="0" shrinkToFit="0" vertical="center" wrapText="0"/>
    </xf>
    <xf borderId="10" fillId="2" fontId="12" numFmtId="0" xfId="0" applyAlignment="1" applyBorder="1" applyFont="1">
      <alignment horizontal="center" readingOrder="0" shrinkToFit="0" vertical="center" wrapText="0"/>
    </xf>
    <xf borderId="10" fillId="2" fontId="12" numFmtId="0" xfId="0" applyAlignment="1" applyBorder="1" applyFont="1">
      <alignment readingOrder="0" shrinkToFit="0" vertical="center" wrapText="0"/>
    </xf>
    <xf borderId="10" fillId="2" fontId="12" numFmtId="0" xfId="0" applyAlignment="1" applyBorder="1" applyFont="1">
      <alignment shrinkToFit="0" vertical="center" wrapText="0"/>
    </xf>
    <xf borderId="10" fillId="2" fontId="12" numFmtId="0" xfId="0" applyAlignment="1" applyBorder="1" applyFont="1">
      <alignment readingOrder="0" shrinkToFit="0" vertical="center" wrapText="0"/>
    </xf>
    <xf borderId="11" fillId="3" fontId="13" numFmtId="49" xfId="0" applyAlignment="1" applyBorder="1" applyFill="1" applyFont="1" applyNumberFormat="1">
      <alignment readingOrder="0" shrinkToFit="0" vertical="center" wrapText="1"/>
    </xf>
    <xf borderId="10" fillId="3" fontId="13" numFmtId="0" xfId="0" applyAlignment="1" applyBorder="1" applyFont="1">
      <alignment shrinkToFit="0" vertical="center" wrapText="1"/>
    </xf>
    <xf borderId="9" fillId="3" fontId="13" numFmtId="49" xfId="0" applyAlignment="1" applyBorder="1" applyFont="1" applyNumberFormat="1">
      <alignment shrinkToFit="0" vertical="center" wrapText="1"/>
    </xf>
    <xf borderId="10" fillId="3" fontId="13" numFmtId="0" xfId="0" applyAlignment="1" applyBorder="1" applyFont="1">
      <alignment readingOrder="0" shrinkToFit="0" vertical="center" wrapText="1"/>
    </xf>
    <xf borderId="1" fillId="0" fontId="12" numFmtId="0" xfId="0" applyAlignment="1" applyBorder="1" applyFont="1">
      <alignment vertical="bottom"/>
    </xf>
    <xf borderId="12" fillId="3" fontId="13" numFmtId="0" xfId="0" applyAlignment="1" applyBorder="1" applyFont="1">
      <alignment horizontal="center" readingOrder="0" shrinkToFit="0" vertical="center" wrapText="0"/>
    </xf>
    <xf borderId="1" fillId="3" fontId="13" numFmtId="0" xfId="0" applyAlignment="1" applyBorder="1" applyFont="1">
      <alignment shrinkToFit="0" vertical="center" wrapText="1"/>
    </xf>
    <xf borderId="1" fillId="3" fontId="15" numFmtId="49" xfId="0" applyAlignment="1" applyBorder="1" applyFont="1" applyNumberFormat="1">
      <alignment shrinkToFit="0" vertical="center" wrapText="1"/>
    </xf>
    <xf borderId="1" fillId="3" fontId="13" numFmtId="0" xfId="0" applyAlignment="1" applyBorder="1" applyFont="1">
      <alignment horizontal="center" shrinkToFit="0" vertical="center" wrapText="1"/>
    </xf>
    <xf borderId="1" fillId="3" fontId="13" numFmtId="49" xfId="0" applyAlignment="1" applyBorder="1" applyFont="1" applyNumberFormat="1">
      <alignment shrinkToFit="0" vertical="center" wrapText="1"/>
    </xf>
    <xf borderId="1" fillId="3" fontId="16" numFmtId="0" xfId="0" applyAlignment="1" applyBorder="1" applyFont="1">
      <alignment shrinkToFit="0" vertical="center" wrapText="0"/>
    </xf>
    <xf borderId="1" fillId="3" fontId="13" numFmtId="0" xfId="0" applyAlignment="1" applyBorder="1" applyFont="1">
      <alignment horizontal="center" shrinkToFit="0" vertical="center" wrapText="0"/>
    </xf>
    <xf borderId="1" fillId="3" fontId="13" numFmtId="0" xfId="0" applyAlignment="1" applyBorder="1" applyFont="1">
      <alignment horizontal="center" shrinkToFit="0" vertical="center" wrapText="0"/>
    </xf>
    <xf borderId="1" fillId="3" fontId="17" numFmtId="0" xfId="0" applyAlignment="1" applyBorder="1" applyFont="1">
      <alignment shrinkToFit="0" vertical="center" wrapText="0"/>
    </xf>
    <xf borderId="1" fillId="3" fontId="16" numFmtId="0" xfId="0" applyAlignment="1" applyBorder="1" applyFont="1">
      <alignment shrinkToFit="0" vertical="center" wrapText="0"/>
    </xf>
    <xf borderId="1" fillId="3" fontId="13" numFmtId="0" xfId="0" applyAlignment="1" applyBorder="1" applyFont="1">
      <alignment shrinkToFit="0" vertical="center" wrapText="0"/>
    </xf>
    <xf borderId="13" fillId="3" fontId="13" numFmtId="0" xfId="0" applyAlignment="1" applyBorder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14" fillId="2" fontId="13" numFmtId="0" xfId="0" applyAlignment="1" applyBorder="1" applyFont="1">
      <alignment shrinkToFit="0" vertical="center" wrapText="1"/>
    </xf>
    <xf borderId="15" fillId="2" fontId="13" numFmtId="49" xfId="0" applyAlignment="1" applyBorder="1" applyFont="1" applyNumberFormat="1">
      <alignment shrinkToFit="0" vertical="center" wrapText="1"/>
    </xf>
    <xf borderId="1" fillId="2" fontId="13" numFmtId="0" xfId="0" applyAlignment="1" applyBorder="1" applyFont="1">
      <alignment horizontal="center" shrinkToFit="0" vertical="center" wrapText="1"/>
    </xf>
    <xf borderId="1" fillId="2" fontId="13" numFmtId="49" xfId="0" applyAlignment="1" applyBorder="1" applyFont="1" applyNumberFormat="1">
      <alignment shrinkToFit="0" vertical="center" wrapText="1"/>
    </xf>
    <xf borderId="1" fillId="2" fontId="14" numFmtId="0" xfId="0" applyAlignment="1" applyBorder="1" applyFont="1">
      <alignment shrinkToFit="0" vertical="center" wrapText="0"/>
    </xf>
    <xf borderId="1" fillId="2" fontId="13" numFmtId="0" xfId="0" applyAlignment="1" applyBorder="1" applyFont="1">
      <alignment horizontal="center" readingOrder="0" shrinkToFit="0" vertical="center" wrapText="0"/>
    </xf>
    <xf borderId="1" fillId="2" fontId="13" numFmtId="0" xfId="0" applyAlignment="1" applyBorder="1" applyFont="1">
      <alignment horizontal="center" shrinkToFit="0" vertical="center" wrapText="0"/>
    </xf>
    <xf borderId="1" fillId="2" fontId="13" numFmtId="0" xfId="0" applyAlignment="1" applyBorder="1" applyFont="1">
      <alignment horizontal="center" shrinkToFit="0" vertical="center" wrapText="0"/>
    </xf>
    <xf borderId="1" fillId="2" fontId="17" numFmtId="0" xfId="0" applyAlignment="1" applyBorder="1" applyFont="1">
      <alignment shrinkToFit="0" vertical="center" wrapText="0"/>
    </xf>
    <xf borderId="1" fillId="2" fontId="13" numFmtId="0" xfId="0" applyAlignment="1" applyBorder="1" applyFont="1">
      <alignment shrinkToFit="0" vertical="center" wrapText="0"/>
    </xf>
    <xf borderId="15" fillId="3" fontId="13" numFmtId="49" xfId="0" applyAlignment="1" applyBorder="1" applyFont="1" applyNumberFormat="1">
      <alignment shrinkToFit="0" vertical="center" wrapText="1"/>
    </xf>
    <xf borderId="1" fillId="3" fontId="18" numFmtId="0" xfId="0" applyAlignment="1" applyBorder="1" applyFont="1">
      <alignment shrinkToFit="0" vertical="center" wrapText="0"/>
    </xf>
    <xf borderId="14" fillId="2" fontId="13" numFmtId="49" xfId="0" applyAlignment="1" applyBorder="1" applyFont="1" applyNumberFormat="1">
      <alignment shrinkToFit="0" vertical="center" wrapText="1"/>
    </xf>
    <xf borderId="1" fillId="2" fontId="16" numFmtId="0" xfId="0" applyAlignment="1" applyBorder="1" applyFont="1">
      <alignment shrinkToFit="0" vertical="center" wrapText="0"/>
    </xf>
    <xf borderId="1" fillId="2" fontId="14" numFmtId="0" xfId="0" applyAlignment="1" applyBorder="1" applyFont="1">
      <alignment shrinkToFit="0" vertical="center" wrapText="0"/>
    </xf>
    <xf borderId="15" fillId="3" fontId="13" numFmtId="0" xfId="0" applyAlignment="1" applyBorder="1" applyFont="1">
      <alignment shrinkToFit="0" vertical="center" wrapText="1"/>
    </xf>
    <xf borderId="14" fillId="3" fontId="13" numFmtId="49" xfId="0" applyAlignment="1" applyBorder="1" applyFont="1" applyNumberFormat="1">
      <alignment shrinkToFit="0" vertical="center" wrapText="1"/>
    </xf>
    <xf borderId="1" fillId="3" fontId="19" numFmtId="0" xfId="0" applyAlignment="1" applyBorder="1" applyFont="1">
      <alignment readingOrder="0" shrinkToFit="0" vertical="center" wrapText="0"/>
    </xf>
    <xf borderId="1" fillId="3" fontId="20" numFmtId="0" xfId="0" applyAlignment="1" applyBorder="1" applyFont="1">
      <alignment horizontal="right" shrinkToFit="0" vertical="center" wrapText="0"/>
    </xf>
    <xf borderId="1" fillId="3" fontId="12" numFmtId="0" xfId="0" applyAlignment="1" applyBorder="1" applyFont="1">
      <alignment shrinkToFit="0" vertical="center" wrapText="0"/>
    </xf>
    <xf borderId="13" fillId="3" fontId="13" numFmtId="49" xfId="0" applyAlignment="1" applyBorder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">
    <tableStyle count="4" pivot="0" name="Unidade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nidade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nidade 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nidade 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nidade 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nidade 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nidade 7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8:S26" displayName="Unidade_1__4" name="Unidade_1__4" id="1">
  <tableColumns count="18">
    <tableColumn name="Nº Capítulo" id="1"/>
    <tableColumn name="Nome Capítulo" id="2"/>
    <tableColumn name="Conteúdo (resumo)" id="3"/>
    <tableColumn name="Nº Objetivo Educacional" id="4"/>
    <tableColumn name="Objetivo Educacional" id="5"/>
    <tableColumn name="Nível (TRB)" id="6"/>
    <tableColumn name="Papéis e atores" id="7"/>
    <tableColumn name="Objetos de Aprendizagem" id="8"/>
    <tableColumn name="Nº Objetos de Aprendizagem" id="9"/>
    <tableColumn name="CH Síncrona (min)" id="10"/>
    <tableColumn name="CH Assíncrona  (min)" id="11"/>
    <tableColumn name="Período (dias)" id="12"/>
    <tableColumn name="Ferramentas" id="13"/>
    <tableColumn name="Atividade Formativa" id="14"/>
    <tableColumn name="Atividade Somativa" id="15"/>
    <tableColumn name="CH Atividades (min)" id="16"/>
    <tableColumn name="Atividade Pontuação" id="17"/>
    <tableColumn name="Feedback" id="18"/>
  </tableColumns>
  <tableStyleInfo name="Unidade 1-style" showColumnStripes="0" showFirstColumn="1" showLastColumn="1" showRowStripes="1"/>
</table>
</file>

<file path=xl/tables/table2.xml><?xml version="1.0" encoding="utf-8"?>
<table xmlns="http://schemas.openxmlformats.org/spreadsheetml/2006/main" ref="B8:S17" displayName="Unidade_2_" name="Unidade_2_" id="2">
  <tableColumns count="18">
    <tableColumn name="Nº Capítulo" id="1"/>
    <tableColumn name="Nome Capítulo" id="2"/>
    <tableColumn name="Conteúdo (resumo)" id="3"/>
    <tableColumn name="Nº Objetivo Educacional" id="4"/>
    <tableColumn name="Objetivo Educacional" id="5"/>
    <tableColumn name="Nível (TRB)" id="6"/>
    <tableColumn name="Papéis e atores" id="7"/>
    <tableColumn name="Objetos de Aprendizagem" id="8"/>
    <tableColumn name="Nº Objetos de Aprendizagem" id="9"/>
    <tableColumn name="CH Síncrona (min)" id="10"/>
    <tableColumn name="CH Assíncrona  (min)" id="11"/>
    <tableColumn name="Período (dias)" id="12"/>
    <tableColumn name="Ferramentas" id="13"/>
    <tableColumn name="Atividade Formativa" id="14"/>
    <tableColumn name="Atividade Somativa" id="15"/>
    <tableColumn name="CH Atividades (min)" id="16"/>
    <tableColumn name="Atividade Pontuação" id="17"/>
    <tableColumn name="Feedback" id="18"/>
  </tableColumns>
  <tableStyleInfo name="Unidade 2-style" showColumnStripes="0" showFirstColumn="1" showLastColumn="1" showRowStripes="1"/>
</table>
</file>

<file path=xl/tables/table3.xml><?xml version="1.0" encoding="utf-8"?>
<table xmlns="http://schemas.openxmlformats.org/spreadsheetml/2006/main" ref="B8:S23" displayName="Unidade_3" name="Unidade_3" id="3">
  <tableColumns count="18">
    <tableColumn name="Nº Capítulo" id="1"/>
    <tableColumn name="Nome Capítulo" id="2"/>
    <tableColumn name="Conteúdo (resumo)" id="3"/>
    <tableColumn name="Nº Objetivo Educacional" id="4"/>
    <tableColumn name="Objetivo Educacional" id="5"/>
    <tableColumn name="Nível (TRB)" id="6"/>
    <tableColumn name="Papéis e atores" id="7"/>
    <tableColumn name="Objetos de Aprendizagem" id="8"/>
    <tableColumn name="Nº Objetos de Aprendizagem" id="9"/>
    <tableColumn name="CH Síncrona (min)" id="10"/>
    <tableColumn name="CH Assíncrona  (min)" id="11"/>
    <tableColumn name="Período (dias)" id="12"/>
    <tableColumn name="Ferramentas" id="13"/>
    <tableColumn name="Atividade Formativa" id="14"/>
    <tableColumn name="Atividade Somativa" id="15"/>
    <tableColumn name="CH Atividades (min)" id="16"/>
    <tableColumn name="Atividade Pontuação" id="17"/>
    <tableColumn name="Feedback" id="18"/>
  </tableColumns>
  <tableStyleInfo name="Unidade 3-style" showColumnStripes="0" showFirstColumn="1" showLastColumn="1" showRowStripes="1"/>
</table>
</file>

<file path=xl/tables/table4.xml><?xml version="1.0" encoding="utf-8"?>
<table xmlns="http://schemas.openxmlformats.org/spreadsheetml/2006/main" ref="B8:S28" displayName="Unidade_4" name="Unidade_4" id="4">
  <tableColumns count="18">
    <tableColumn name="Nº Capítulo" id="1"/>
    <tableColumn name="Nome Capítulo" id="2"/>
    <tableColumn name="Conteúdo (resumo)" id="3"/>
    <tableColumn name="Nº Objetivo Educacional" id="4"/>
    <tableColumn name="Objetivo Educacional" id="5"/>
    <tableColumn name="Nível (TRB)" id="6"/>
    <tableColumn name="Papéis e atores" id="7"/>
    <tableColumn name="Objetos de Aprendizagem" id="8"/>
    <tableColumn name="Nº Objetos de Aprendizagem" id="9"/>
    <tableColumn name="CH Síncrona (min)" id="10"/>
    <tableColumn name="CH Assíncrona  (min)" id="11"/>
    <tableColumn name="Período (dias)" id="12"/>
    <tableColumn name="Ferramentas" id="13"/>
    <tableColumn name="Atividade Formativa" id="14"/>
    <tableColumn name="Atividade Somativa" id="15"/>
    <tableColumn name="CH Atividades (min)" id="16"/>
    <tableColumn name="Atividade Pontuação" id="17"/>
    <tableColumn name="Feedback" id="18"/>
  </tableColumns>
  <tableStyleInfo name="Unidade 4-style" showColumnStripes="0" showFirstColumn="1" showLastColumn="1" showRowStripes="1"/>
</table>
</file>

<file path=xl/tables/table5.xml><?xml version="1.0" encoding="utf-8"?>
<table xmlns="http://schemas.openxmlformats.org/spreadsheetml/2006/main" ref="B8:S26" displayName="Unidade_5" name="Unidade_5" id="5">
  <tableColumns count="18">
    <tableColumn name="Nº Capítulo" id="1"/>
    <tableColumn name="Nome Capítulo" id="2"/>
    <tableColumn name="Conteúdo (resumo)" id="3"/>
    <tableColumn name="Nº Objetivo Educacional" id="4"/>
    <tableColumn name="Objetivo Educacional" id="5"/>
    <tableColumn name="Nível (TRB)" id="6"/>
    <tableColumn name="Papéis e atores" id="7"/>
    <tableColumn name="Objetos de Aprendizagem" id="8"/>
    <tableColumn name="Nº Objetos de Aprendizagem" id="9"/>
    <tableColumn name="CH Síncrona (min)" id="10"/>
    <tableColumn name="CH Assíncrona  (min)" id="11"/>
    <tableColumn name="Período (dias)" id="12"/>
    <tableColumn name="Ferramentas" id="13"/>
    <tableColumn name="Atividade Formativa" id="14"/>
    <tableColumn name="Atividade Somativa" id="15"/>
    <tableColumn name="CH Atividades (min)" id="16"/>
    <tableColumn name="Atividade Pontuação" id="17"/>
    <tableColumn name="Feedback" id="18"/>
  </tableColumns>
  <tableStyleInfo name="Unidade 5-style" showColumnStripes="0" showFirstColumn="1" showLastColumn="1" showRowStripes="1"/>
</table>
</file>

<file path=xl/tables/table6.xml><?xml version="1.0" encoding="utf-8"?>
<table xmlns="http://schemas.openxmlformats.org/spreadsheetml/2006/main" ref="B8:S28" displayName="Unidade_6" name="Unidade_6" id="6">
  <tableColumns count="18">
    <tableColumn name="Nº Capítulo" id="1"/>
    <tableColumn name="Nome Capítulo" id="2"/>
    <tableColumn name="Conteúdo (resumo)" id="3"/>
    <tableColumn name="Nº Objetivo Educacional" id="4"/>
    <tableColumn name="Objetivo Educacional" id="5"/>
    <tableColumn name="Nível (TRB)" id="6"/>
    <tableColumn name="Papéis e atores" id="7"/>
    <tableColumn name="Objetos de Aprendizagem" id="8"/>
    <tableColumn name="Nº Objetos de Aprendizagem" id="9"/>
    <tableColumn name="CH Síncrona (min)" id="10"/>
    <tableColumn name="CH Assíncrona  (min)" id="11"/>
    <tableColumn name="Período (dias)" id="12"/>
    <tableColumn name="Ferramentas" id="13"/>
    <tableColumn name="Atividade Formativa" id="14"/>
    <tableColumn name="Atividade Somativa" id="15"/>
    <tableColumn name="CH Atividades (min)" id="16"/>
    <tableColumn name="Atividade Pontuação" id="17"/>
    <tableColumn name="Feedback" id="18"/>
  </tableColumns>
  <tableStyleInfo name="Unidade 6-style" showColumnStripes="0" showFirstColumn="1" showLastColumn="1" showRowStripes="1"/>
</table>
</file>

<file path=xl/tables/table7.xml><?xml version="1.0" encoding="utf-8"?>
<table xmlns="http://schemas.openxmlformats.org/spreadsheetml/2006/main" ref="B8:S25" displayName="Unidade_7" name="Unidade_7" id="7">
  <tableColumns count="18">
    <tableColumn name="Nº Capítulo" id="1"/>
    <tableColumn name="Nome Capítulo" id="2"/>
    <tableColumn name="Conteúdo (resumo)" id="3"/>
    <tableColumn name="Nº Objetivo Educacional" id="4"/>
    <tableColumn name="Objetivo Educacional" id="5"/>
    <tableColumn name="Nível (TRB)" id="6"/>
    <tableColumn name="Papéis e atores" id="7"/>
    <tableColumn name="Objetos de Aprendizagem" id="8"/>
    <tableColumn name="Nº Objetos de Aprendizagem" id="9"/>
    <tableColumn name="CH Síncrona (min)" id="10"/>
    <tableColumn name="CH Assíncrona  (min)" id="11"/>
    <tableColumn name="Período (dias)" id="12"/>
    <tableColumn name="Ferramentas" id="13"/>
    <tableColumn name="Atividade Formativa" id="14"/>
    <tableColumn name="Atividade Somativa" id="15"/>
    <tableColumn name="CH Atividades (min)" id="16"/>
    <tableColumn name="Atividade Pontuação" id="17"/>
    <tableColumn name="Feedback" id="18"/>
  </tableColumns>
  <tableStyleInfo name="Unidade 7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2.63" defaultRowHeight="15.75"/>
  <cols>
    <col customWidth="1" min="1" max="1" width="11.75"/>
    <col customWidth="1" min="2" max="2" width="17.25"/>
    <col customWidth="1" min="3" max="3" width="33.75"/>
    <col customWidth="1" min="4" max="4" width="41.63"/>
    <col customWidth="1" min="5" max="5" width="14.5"/>
    <col customWidth="1" min="6" max="6" width="40.88"/>
    <col customWidth="1" min="7" max="7" width="22.13"/>
    <col customWidth="1" min="8" max="8" width="42.38"/>
    <col customWidth="1" min="9" max="9" width="24.88"/>
    <col customWidth="1" min="10" max="10" width="30.75"/>
    <col customWidth="1" min="11" max="11" width="37.63"/>
    <col customWidth="1" min="12" max="12" width="29.0"/>
    <col customWidth="1" min="13" max="13" width="30.25"/>
    <col customWidth="1" min="14" max="14" width="25.88"/>
    <col customWidth="1" min="15" max="16" width="26.5"/>
    <col customWidth="1" min="17" max="17" width="24.25"/>
    <col customWidth="1" min="18" max="18" width="28.38"/>
    <col customWidth="1" min="19" max="19" width="46.13"/>
  </cols>
  <sheetData>
    <row r="1">
      <c r="A1" s="1"/>
      <c r="B1" s="2"/>
      <c r="C1" s="3"/>
      <c r="D1" s="4"/>
      <c r="E1" s="4"/>
      <c r="F1" s="4"/>
      <c r="G1" s="5"/>
      <c r="H1" s="4"/>
      <c r="I1" s="4"/>
      <c r="J1" s="4"/>
      <c r="K1" s="4"/>
      <c r="L1" s="5"/>
      <c r="M1" s="6"/>
      <c r="N1" s="6"/>
      <c r="O1" s="6"/>
      <c r="P1" s="6"/>
      <c r="Q1" s="6"/>
      <c r="R1" s="5"/>
      <c r="S1" s="5"/>
    </row>
    <row r="2" ht="21.75" customHeight="1">
      <c r="B2" s="7" t="s">
        <v>0</v>
      </c>
      <c r="C2" s="3"/>
      <c r="D2" s="8" t="s">
        <v>1</v>
      </c>
      <c r="E2" s="9">
        <f>(SUM(K:K)/60/24)</f>
        <v>0</v>
      </c>
      <c r="F2" s="10" t="s">
        <v>2</v>
      </c>
      <c r="H2" s="4"/>
      <c r="I2" s="5"/>
      <c r="J2" s="6"/>
      <c r="K2" s="6"/>
      <c r="L2" s="6"/>
      <c r="M2" s="6"/>
      <c r="N2" s="6"/>
      <c r="O2" s="5"/>
      <c r="P2" s="5"/>
    </row>
    <row r="3">
      <c r="A3" s="4"/>
      <c r="B3" s="4"/>
      <c r="C3" s="4"/>
      <c r="D3" s="11" t="s">
        <v>3</v>
      </c>
      <c r="E3" s="9">
        <f>(SUM(L:L)/60/24)</f>
        <v>0.9166666667</v>
      </c>
      <c r="H3" s="4"/>
      <c r="I3" s="4"/>
      <c r="J3" s="4"/>
      <c r="K3" s="4"/>
      <c r="L3" s="5"/>
      <c r="M3" s="6"/>
      <c r="N3" s="6"/>
      <c r="O3" s="6"/>
      <c r="P3" s="6"/>
      <c r="Q3" s="6"/>
      <c r="R3" s="5"/>
      <c r="S3" s="5"/>
    </row>
    <row r="4" ht="18.75" customHeight="1">
      <c r="A4" s="1"/>
      <c r="B4" s="12" t="s">
        <v>4</v>
      </c>
      <c r="C4" s="13"/>
      <c r="D4" s="14" t="s">
        <v>5</v>
      </c>
      <c r="E4" s="9">
        <f>(SUM(Q:Q)/60/24)</f>
        <v>0</v>
      </c>
      <c r="H4" s="4"/>
      <c r="I4" s="4"/>
      <c r="J4" s="4"/>
      <c r="K4" s="4"/>
      <c r="L4" s="5"/>
      <c r="M4" s="6"/>
      <c r="N4" s="6"/>
      <c r="O4" s="6"/>
      <c r="P4" s="6"/>
      <c r="Q4" s="6"/>
      <c r="R4" s="5"/>
      <c r="S4" s="5"/>
    </row>
    <row r="5">
      <c r="A5" s="1"/>
      <c r="B5" s="12" t="s">
        <v>6</v>
      </c>
      <c r="C5" s="13"/>
      <c r="D5" s="11" t="s">
        <v>7</v>
      </c>
      <c r="E5" s="15">
        <f>SUM(E2:E4)</f>
        <v>0.9166666667</v>
      </c>
      <c r="H5" s="4"/>
      <c r="I5" s="4"/>
      <c r="J5" s="4"/>
      <c r="K5" s="4"/>
      <c r="L5" s="5"/>
      <c r="M5" s="6"/>
      <c r="N5" s="6"/>
      <c r="O5" s="6"/>
      <c r="P5" s="6"/>
      <c r="Q5" s="6"/>
      <c r="R5" s="5"/>
      <c r="S5" s="5"/>
    </row>
    <row r="6">
      <c r="A6" s="1"/>
      <c r="B6" s="2"/>
      <c r="C6" s="3"/>
      <c r="D6" s="4"/>
      <c r="E6" s="4"/>
      <c r="F6" s="4"/>
      <c r="G6" s="5"/>
      <c r="H6" s="4"/>
      <c r="I6" s="4"/>
      <c r="J6" s="4"/>
      <c r="K6" s="4"/>
      <c r="L6" s="5"/>
      <c r="M6" s="6"/>
      <c r="N6" s="6"/>
      <c r="O6" s="6"/>
      <c r="P6" s="6"/>
      <c r="Q6" s="6"/>
      <c r="R6" s="5"/>
      <c r="S6" s="5"/>
    </row>
    <row r="7" ht="26.25" customHeight="1">
      <c r="A7" s="16"/>
      <c r="B7" s="16"/>
      <c r="C7" s="4"/>
      <c r="D7" s="4"/>
      <c r="E7" s="4"/>
      <c r="F7" s="17"/>
      <c r="G7" s="18"/>
      <c r="H7" s="13"/>
      <c r="I7" s="4"/>
      <c r="J7" s="4"/>
      <c r="K7" s="4"/>
      <c r="L7" s="5"/>
      <c r="M7" s="6"/>
      <c r="N7" s="6"/>
      <c r="O7" s="6"/>
      <c r="P7" s="6"/>
      <c r="Q7" s="6"/>
      <c r="R7" s="5"/>
      <c r="S7" s="5"/>
    </row>
    <row r="8" ht="22.5" customHeight="1">
      <c r="A8" s="16"/>
      <c r="B8" s="19" t="s">
        <v>8</v>
      </c>
      <c r="C8" s="19" t="s">
        <v>9</v>
      </c>
      <c r="D8" s="19" t="s">
        <v>10</v>
      </c>
      <c r="E8" s="19" t="s">
        <v>11</v>
      </c>
      <c r="F8" s="19" t="s">
        <v>12</v>
      </c>
      <c r="G8" s="19" t="s">
        <v>13</v>
      </c>
      <c r="H8" s="19" t="s">
        <v>14</v>
      </c>
      <c r="I8" s="20" t="s">
        <v>15</v>
      </c>
      <c r="J8" s="21" t="s">
        <v>16</v>
      </c>
      <c r="K8" s="21" t="s">
        <v>17</v>
      </c>
      <c r="L8" s="21" t="s">
        <v>18</v>
      </c>
      <c r="M8" s="21" t="s">
        <v>19</v>
      </c>
      <c r="N8" s="21" t="s">
        <v>20</v>
      </c>
      <c r="O8" s="20" t="s">
        <v>21</v>
      </c>
      <c r="P8" s="20" t="s">
        <v>22</v>
      </c>
      <c r="Q8" s="21" t="s">
        <v>23</v>
      </c>
      <c r="R8" s="20" t="s">
        <v>24</v>
      </c>
      <c r="S8" s="20" t="s">
        <v>25</v>
      </c>
    </row>
    <row r="9" ht="22.5" customHeight="1">
      <c r="A9" s="16"/>
      <c r="B9" s="22" t="s">
        <v>26</v>
      </c>
      <c r="C9" s="23" t="s">
        <v>27</v>
      </c>
      <c r="D9" s="24" t="s">
        <v>28</v>
      </c>
      <c r="E9" s="25">
        <v>2.0</v>
      </c>
      <c r="F9" s="26" t="s">
        <v>29</v>
      </c>
      <c r="G9" s="27" t="s">
        <v>30</v>
      </c>
      <c r="H9" s="28" t="s">
        <v>31</v>
      </c>
      <c r="I9" s="29" t="s">
        <v>32</v>
      </c>
      <c r="J9" s="30">
        <v>3.0</v>
      </c>
      <c r="K9" s="30"/>
      <c r="L9" s="31">
        <v>90.0</v>
      </c>
      <c r="M9" s="32"/>
      <c r="N9" s="32"/>
      <c r="O9" s="33"/>
      <c r="P9" s="33"/>
      <c r="Q9" s="32"/>
      <c r="R9" s="34"/>
      <c r="S9" s="34"/>
    </row>
    <row r="10" ht="22.5" customHeight="1">
      <c r="A10" s="16"/>
      <c r="B10" s="22" t="s">
        <v>26</v>
      </c>
      <c r="C10" s="23" t="s">
        <v>27</v>
      </c>
      <c r="D10" s="28" t="s">
        <v>33</v>
      </c>
      <c r="E10" s="25">
        <v>2.0</v>
      </c>
      <c r="F10" s="28" t="s">
        <v>33</v>
      </c>
      <c r="G10" s="28" t="s">
        <v>33</v>
      </c>
      <c r="H10" s="28" t="s">
        <v>33</v>
      </c>
      <c r="I10" s="29" t="s">
        <v>34</v>
      </c>
      <c r="J10" s="30">
        <v>3.0</v>
      </c>
      <c r="K10" s="30"/>
      <c r="L10" s="32"/>
      <c r="M10" s="32"/>
      <c r="N10" s="32"/>
      <c r="O10" s="33"/>
      <c r="P10" s="33"/>
      <c r="Q10" s="31"/>
      <c r="R10" s="34"/>
      <c r="S10" s="34"/>
    </row>
    <row r="11" ht="22.5" customHeight="1">
      <c r="A11" s="16"/>
      <c r="B11" s="22" t="s">
        <v>26</v>
      </c>
      <c r="C11" s="23" t="s">
        <v>27</v>
      </c>
      <c r="D11" s="24" t="s">
        <v>33</v>
      </c>
      <c r="E11" s="25">
        <v>3.0</v>
      </c>
      <c r="F11" s="28" t="s">
        <v>33</v>
      </c>
      <c r="G11" s="27" t="s">
        <v>30</v>
      </c>
      <c r="H11" s="28" t="s">
        <v>31</v>
      </c>
      <c r="I11" s="29" t="s">
        <v>35</v>
      </c>
      <c r="J11" s="30">
        <v>1.0</v>
      </c>
      <c r="K11" s="30"/>
      <c r="L11" s="31">
        <v>60.0</v>
      </c>
      <c r="M11" s="32"/>
      <c r="N11" s="32"/>
      <c r="O11" s="33" t="s">
        <v>35</v>
      </c>
      <c r="P11" s="33"/>
      <c r="Q11" s="31"/>
      <c r="R11" s="34"/>
      <c r="S11" s="34"/>
    </row>
    <row r="12" ht="22.5" customHeight="1">
      <c r="A12" s="16"/>
      <c r="B12" s="22" t="s">
        <v>26</v>
      </c>
      <c r="C12" s="23" t="s">
        <v>27</v>
      </c>
      <c r="D12" s="28" t="s">
        <v>33</v>
      </c>
      <c r="E12" s="25">
        <v>2.0</v>
      </c>
      <c r="F12" s="28" t="s">
        <v>33</v>
      </c>
      <c r="G12" s="28" t="s">
        <v>33</v>
      </c>
      <c r="H12" s="28" t="s">
        <v>33</v>
      </c>
      <c r="I12" s="29" t="s">
        <v>36</v>
      </c>
      <c r="J12" s="30">
        <v>1.0</v>
      </c>
      <c r="K12" s="30"/>
      <c r="L12" s="31">
        <v>120.0</v>
      </c>
      <c r="M12" s="32"/>
      <c r="N12" s="32"/>
      <c r="O12" s="33"/>
      <c r="P12" s="33"/>
      <c r="Q12" s="32"/>
      <c r="R12" s="34"/>
      <c r="S12" s="34"/>
    </row>
    <row r="13" ht="22.5" customHeight="1">
      <c r="A13" s="16"/>
      <c r="B13" s="22" t="s">
        <v>26</v>
      </c>
      <c r="C13" s="23" t="s">
        <v>27</v>
      </c>
      <c r="D13" s="28" t="s">
        <v>37</v>
      </c>
      <c r="E13" s="25">
        <v>2.0</v>
      </c>
      <c r="F13" s="28" t="s">
        <v>33</v>
      </c>
      <c r="G13" s="27" t="s">
        <v>30</v>
      </c>
      <c r="H13" s="28" t="s">
        <v>31</v>
      </c>
      <c r="I13" s="29" t="s">
        <v>38</v>
      </c>
      <c r="J13" s="30">
        <v>1.0</v>
      </c>
      <c r="K13" s="30"/>
      <c r="L13" s="31">
        <v>50.0</v>
      </c>
      <c r="M13" s="32"/>
      <c r="N13" s="32"/>
      <c r="O13" s="33"/>
      <c r="P13" s="33"/>
      <c r="Q13" s="32"/>
      <c r="R13" s="34"/>
      <c r="S13" s="34"/>
    </row>
    <row r="14" ht="22.5" customHeight="1">
      <c r="A14" s="16"/>
      <c r="B14" s="22" t="s">
        <v>26</v>
      </c>
      <c r="C14" s="23" t="s">
        <v>27</v>
      </c>
      <c r="D14" s="28" t="s">
        <v>33</v>
      </c>
      <c r="E14" s="25">
        <v>3.0</v>
      </c>
      <c r="F14" s="28" t="s">
        <v>33</v>
      </c>
      <c r="G14" s="28" t="s">
        <v>33</v>
      </c>
      <c r="H14" s="28" t="s">
        <v>33</v>
      </c>
      <c r="I14" s="29" t="s">
        <v>39</v>
      </c>
      <c r="J14" s="30">
        <v>1.0</v>
      </c>
      <c r="K14" s="30"/>
      <c r="L14" s="31">
        <v>120.0</v>
      </c>
      <c r="M14" s="32"/>
      <c r="N14" s="32"/>
      <c r="O14" s="33"/>
      <c r="P14" s="33" t="s">
        <v>40</v>
      </c>
      <c r="Q14" s="32"/>
      <c r="R14" s="31">
        <v>10.0</v>
      </c>
      <c r="S14" s="34"/>
    </row>
    <row r="15" ht="22.5" customHeight="1">
      <c r="A15" s="16"/>
      <c r="B15" s="22" t="s">
        <v>41</v>
      </c>
      <c r="C15" s="35" t="s">
        <v>42</v>
      </c>
      <c r="D15" s="28" t="s">
        <v>43</v>
      </c>
      <c r="E15" s="25">
        <v>2.0</v>
      </c>
      <c r="F15" s="28" t="s">
        <v>44</v>
      </c>
      <c r="G15" s="27" t="s">
        <v>30</v>
      </c>
      <c r="H15" s="28" t="s">
        <v>31</v>
      </c>
      <c r="I15" s="29" t="s">
        <v>32</v>
      </c>
      <c r="J15" s="30">
        <v>3.0</v>
      </c>
      <c r="K15" s="30"/>
      <c r="L15" s="31">
        <v>90.0</v>
      </c>
      <c r="M15" s="32"/>
      <c r="N15" s="32"/>
      <c r="O15" s="33"/>
      <c r="P15" s="33"/>
      <c r="Q15" s="32"/>
      <c r="R15" s="32"/>
      <c r="S15" s="34"/>
    </row>
    <row r="16" ht="22.5" customHeight="1">
      <c r="A16" s="16"/>
      <c r="B16" s="22" t="s">
        <v>41</v>
      </c>
      <c r="C16" s="35" t="s">
        <v>42</v>
      </c>
      <c r="D16" s="28" t="s">
        <v>33</v>
      </c>
      <c r="E16" s="25">
        <v>2.0</v>
      </c>
      <c r="F16" s="28" t="s">
        <v>33</v>
      </c>
      <c r="G16" s="28" t="s">
        <v>33</v>
      </c>
      <c r="H16" s="28" t="s">
        <v>33</v>
      </c>
      <c r="I16" s="29" t="s">
        <v>34</v>
      </c>
      <c r="J16" s="30">
        <v>3.0</v>
      </c>
      <c r="K16" s="30"/>
      <c r="L16" s="32"/>
      <c r="M16" s="32"/>
      <c r="N16" s="32"/>
      <c r="O16" s="33"/>
      <c r="P16" s="33"/>
      <c r="Q16" s="32"/>
      <c r="R16" s="32"/>
      <c r="S16" s="34"/>
    </row>
    <row r="17" ht="22.5" customHeight="1">
      <c r="A17" s="16"/>
      <c r="B17" s="22" t="s">
        <v>41</v>
      </c>
      <c r="C17" s="35" t="s">
        <v>42</v>
      </c>
      <c r="D17" s="28" t="s">
        <v>37</v>
      </c>
      <c r="E17" s="25">
        <v>3.0</v>
      </c>
      <c r="F17" s="28" t="s">
        <v>33</v>
      </c>
      <c r="G17" s="27" t="s">
        <v>30</v>
      </c>
      <c r="H17" s="28" t="s">
        <v>31</v>
      </c>
      <c r="I17" s="29" t="s">
        <v>35</v>
      </c>
      <c r="J17" s="30">
        <v>1.0</v>
      </c>
      <c r="K17" s="30"/>
      <c r="L17" s="31">
        <v>60.0</v>
      </c>
      <c r="M17" s="32"/>
      <c r="N17" s="32"/>
      <c r="O17" s="33" t="s">
        <v>35</v>
      </c>
      <c r="P17" s="33"/>
      <c r="Q17" s="32"/>
      <c r="R17" s="32"/>
      <c r="S17" s="34"/>
    </row>
    <row r="18" ht="22.5" customHeight="1">
      <c r="A18" s="16"/>
      <c r="B18" s="22" t="s">
        <v>41</v>
      </c>
      <c r="C18" s="35" t="s">
        <v>42</v>
      </c>
      <c r="D18" s="28" t="s">
        <v>33</v>
      </c>
      <c r="E18" s="25">
        <v>2.0</v>
      </c>
      <c r="F18" s="28" t="s">
        <v>33</v>
      </c>
      <c r="G18" s="28" t="s">
        <v>33</v>
      </c>
      <c r="H18" s="28" t="s">
        <v>33</v>
      </c>
      <c r="I18" s="29" t="s">
        <v>36</v>
      </c>
      <c r="J18" s="30">
        <v>1.0</v>
      </c>
      <c r="K18" s="30"/>
      <c r="L18" s="31">
        <v>120.0</v>
      </c>
      <c r="M18" s="32"/>
      <c r="N18" s="32"/>
      <c r="O18" s="33"/>
      <c r="P18" s="33"/>
      <c r="Q18" s="32"/>
      <c r="R18" s="32"/>
      <c r="S18" s="34"/>
    </row>
    <row r="19" ht="22.5" customHeight="1">
      <c r="A19" s="16"/>
      <c r="B19" s="22" t="s">
        <v>41</v>
      </c>
      <c r="C19" s="35" t="s">
        <v>42</v>
      </c>
      <c r="D19" s="28" t="s">
        <v>37</v>
      </c>
      <c r="E19" s="25">
        <v>2.0</v>
      </c>
      <c r="F19" s="28" t="s">
        <v>33</v>
      </c>
      <c r="G19" s="27" t="s">
        <v>30</v>
      </c>
      <c r="H19" s="28" t="s">
        <v>31</v>
      </c>
      <c r="I19" s="29" t="s">
        <v>38</v>
      </c>
      <c r="J19" s="30">
        <v>1.0</v>
      </c>
      <c r="K19" s="30"/>
      <c r="L19" s="31">
        <v>50.0</v>
      </c>
      <c r="M19" s="32"/>
      <c r="N19" s="32"/>
      <c r="O19" s="33"/>
      <c r="P19" s="33"/>
      <c r="Q19" s="32"/>
      <c r="R19" s="32"/>
      <c r="S19" s="34"/>
    </row>
    <row r="20" ht="22.5" customHeight="1">
      <c r="A20" s="16"/>
      <c r="B20" s="22" t="s">
        <v>41</v>
      </c>
      <c r="C20" s="35" t="s">
        <v>42</v>
      </c>
      <c r="D20" s="28" t="s">
        <v>33</v>
      </c>
      <c r="E20" s="25">
        <v>3.0</v>
      </c>
      <c r="F20" s="28" t="s">
        <v>33</v>
      </c>
      <c r="G20" s="28" t="s">
        <v>33</v>
      </c>
      <c r="H20" s="28" t="s">
        <v>33</v>
      </c>
      <c r="I20" s="29" t="s">
        <v>39</v>
      </c>
      <c r="J20" s="30">
        <v>1.0</v>
      </c>
      <c r="K20" s="30"/>
      <c r="L20" s="31">
        <v>120.0</v>
      </c>
      <c r="M20" s="32"/>
      <c r="N20" s="32"/>
      <c r="O20" s="33"/>
      <c r="P20" s="33" t="s">
        <v>40</v>
      </c>
      <c r="Q20" s="32"/>
      <c r="R20" s="31">
        <v>10.0</v>
      </c>
      <c r="S20" s="34"/>
    </row>
    <row r="21" ht="22.5" customHeight="1">
      <c r="A21" s="16"/>
      <c r="B21" s="22" t="s">
        <v>45</v>
      </c>
      <c r="C21" s="35" t="s">
        <v>46</v>
      </c>
      <c r="D21" s="36" t="s">
        <v>47</v>
      </c>
      <c r="E21" s="25">
        <v>3.0</v>
      </c>
      <c r="F21" s="28" t="s">
        <v>48</v>
      </c>
      <c r="G21" s="27" t="s">
        <v>30</v>
      </c>
      <c r="H21" s="28" t="s">
        <v>31</v>
      </c>
      <c r="I21" s="29" t="s">
        <v>32</v>
      </c>
      <c r="J21" s="30">
        <v>3.0</v>
      </c>
      <c r="K21" s="30"/>
      <c r="L21" s="31">
        <v>90.0</v>
      </c>
      <c r="M21" s="32"/>
      <c r="N21" s="32"/>
      <c r="O21" s="33"/>
      <c r="P21" s="33"/>
      <c r="Q21" s="32"/>
      <c r="R21" s="32"/>
      <c r="S21" s="34"/>
    </row>
    <row r="22" ht="22.5" customHeight="1">
      <c r="A22" s="16"/>
      <c r="B22" s="22" t="s">
        <v>45</v>
      </c>
      <c r="C22" s="35" t="s">
        <v>46</v>
      </c>
      <c r="D22" s="24" t="s">
        <v>33</v>
      </c>
      <c r="E22" s="25">
        <v>2.0</v>
      </c>
      <c r="F22" s="28" t="s">
        <v>33</v>
      </c>
      <c r="G22" s="27" t="s">
        <v>30</v>
      </c>
      <c r="H22" s="28" t="s">
        <v>31</v>
      </c>
      <c r="I22" s="29" t="s">
        <v>34</v>
      </c>
      <c r="J22" s="30">
        <v>3.0</v>
      </c>
      <c r="K22" s="30"/>
      <c r="L22" s="32"/>
      <c r="M22" s="32"/>
      <c r="N22" s="32"/>
      <c r="O22" s="33"/>
      <c r="P22" s="33"/>
      <c r="Q22" s="32"/>
      <c r="R22" s="32"/>
      <c r="S22" s="34"/>
    </row>
    <row r="23" ht="22.5" customHeight="1">
      <c r="A23" s="16"/>
      <c r="B23" s="22" t="s">
        <v>45</v>
      </c>
      <c r="C23" s="35" t="s">
        <v>46</v>
      </c>
      <c r="D23" s="28" t="s">
        <v>33</v>
      </c>
      <c r="E23" s="25">
        <v>3.0</v>
      </c>
      <c r="F23" s="28" t="s">
        <v>33</v>
      </c>
      <c r="G23" s="28" t="s">
        <v>33</v>
      </c>
      <c r="H23" s="28" t="s">
        <v>33</v>
      </c>
      <c r="I23" s="29" t="s">
        <v>35</v>
      </c>
      <c r="J23" s="30">
        <v>1.0</v>
      </c>
      <c r="K23" s="30"/>
      <c r="L23" s="31">
        <v>60.0</v>
      </c>
      <c r="M23" s="32"/>
      <c r="N23" s="32"/>
      <c r="O23" s="33" t="s">
        <v>35</v>
      </c>
      <c r="P23" s="33"/>
      <c r="Q23" s="32"/>
      <c r="R23" s="32"/>
      <c r="S23" s="34"/>
    </row>
    <row r="24" ht="22.5" customHeight="1">
      <c r="A24" s="16"/>
      <c r="B24" s="22" t="s">
        <v>45</v>
      </c>
      <c r="C24" s="35" t="s">
        <v>46</v>
      </c>
      <c r="D24" s="28" t="s">
        <v>33</v>
      </c>
      <c r="E24" s="25">
        <v>2.0</v>
      </c>
      <c r="F24" s="28" t="s">
        <v>33</v>
      </c>
      <c r="G24" s="27" t="s">
        <v>30</v>
      </c>
      <c r="H24" s="28" t="s">
        <v>31</v>
      </c>
      <c r="I24" s="29" t="s">
        <v>36</v>
      </c>
      <c r="J24" s="30">
        <v>1.0</v>
      </c>
      <c r="K24" s="30"/>
      <c r="L24" s="31">
        <v>120.0</v>
      </c>
      <c r="M24" s="32"/>
      <c r="N24" s="32"/>
      <c r="O24" s="33"/>
      <c r="P24" s="33"/>
      <c r="Q24" s="32"/>
      <c r="R24" s="32"/>
      <c r="S24" s="34"/>
    </row>
    <row r="25" ht="22.5" customHeight="1">
      <c r="A25" s="16"/>
      <c r="B25" s="22" t="s">
        <v>45</v>
      </c>
      <c r="C25" s="35" t="s">
        <v>46</v>
      </c>
      <c r="D25" s="28" t="s">
        <v>33</v>
      </c>
      <c r="E25" s="25">
        <v>2.0</v>
      </c>
      <c r="F25" s="28" t="s">
        <v>33</v>
      </c>
      <c r="G25" s="28" t="s">
        <v>33</v>
      </c>
      <c r="H25" s="28" t="s">
        <v>33</v>
      </c>
      <c r="I25" s="29" t="s">
        <v>38</v>
      </c>
      <c r="J25" s="30">
        <v>1.0</v>
      </c>
      <c r="K25" s="30"/>
      <c r="L25" s="31">
        <v>50.0</v>
      </c>
      <c r="M25" s="32"/>
      <c r="N25" s="32"/>
      <c r="O25" s="33"/>
      <c r="P25" s="33"/>
      <c r="Q25" s="32"/>
      <c r="R25" s="32"/>
      <c r="S25" s="34"/>
    </row>
    <row r="26" ht="22.5" customHeight="1">
      <c r="A26" s="16"/>
      <c r="B26" s="22" t="s">
        <v>45</v>
      </c>
      <c r="C26" s="35" t="s">
        <v>46</v>
      </c>
      <c r="D26" s="28" t="s">
        <v>33</v>
      </c>
      <c r="E26" s="25">
        <v>3.0</v>
      </c>
      <c r="F26" s="28" t="s">
        <v>33</v>
      </c>
      <c r="G26" s="27" t="s">
        <v>30</v>
      </c>
      <c r="H26" s="28" t="s">
        <v>31</v>
      </c>
      <c r="I26" s="29" t="s">
        <v>39</v>
      </c>
      <c r="J26" s="30">
        <v>1.0</v>
      </c>
      <c r="K26" s="30"/>
      <c r="L26" s="31">
        <v>120.0</v>
      </c>
      <c r="M26" s="32"/>
      <c r="N26" s="32"/>
      <c r="O26" s="33"/>
      <c r="P26" s="33" t="s">
        <v>40</v>
      </c>
      <c r="Q26" s="32"/>
      <c r="R26" s="31">
        <v>10.0</v>
      </c>
      <c r="S26" s="34"/>
    </row>
  </sheetData>
  <customSheetViews>
    <customSheetView guid="{49FF6D53-992D-4646-A2FC-08831FD96999}" filter="1" showAutoFilter="1">
      <autoFilter ref="$B$8:$S$26"/>
    </customSheetView>
  </customSheetViews>
  <mergeCells count="7">
    <mergeCell ref="B1:C1"/>
    <mergeCell ref="B2:C2"/>
    <mergeCell ref="F2:G5"/>
    <mergeCell ref="B4:C4"/>
    <mergeCell ref="B5:C5"/>
    <mergeCell ref="B6:C6"/>
    <mergeCell ref="F7:H7"/>
  </mergeCells>
  <dataValidations>
    <dataValidation type="list" allowBlank="1" sqref="I9:I26">
      <formula1>"Roteiro de Vídeo,Slide,Plano de Aula,Fórum,Tarefa,PDF (avulso),Tela Interativa,Quiz,Ebook"</formula1>
    </dataValidation>
    <dataValidation type="custom" allowBlank="1" showDropDown="1" sqref="E9:E26 J9:K26">
      <formula1>AND(ISNUMBER(E9),(NOT(OR(NOT(ISERROR(DATEVALUE(E9))), AND(ISNUMBER(E9), LEFT(CELL("format", E9))="D")))))</formula1>
    </dataValidation>
    <dataValidation type="list" allowBlank="1" sqref="O9:P26">
      <formula1>"Não prevista,Quiz,Atividade Aberta,Genially,Portfólio (várias atividades),Idem"</formula1>
    </dataValidation>
    <dataValidation allowBlank="1" showDropDown="1" sqref="B9:B26 D9:D26 F9:H26"/>
  </dataValidations>
  <printOptions gridLines="1" horizontalCentered="1"/>
  <pageMargins bottom="0.75" footer="0.0" header="0.0" left="0.0" right="0.11484111361079867" top="0.75"/>
  <pageSetup fitToHeight="0" paperSize="9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2.63" defaultRowHeight="15.75"/>
  <cols>
    <col customWidth="1" min="1" max="1" width="11.75"/>
    <col customWidth="1" min="2" max="2" width="17.25"/>
    <col customWidth="1" min="3" max="3" width="33.75"/>
    <col customWidth="1" min="4" max="4" width="41.63"/>
    <col customWidth="1" min="5" max="5" width="16.5"/>
    <col customWidth="1" min="6" max="6" width="40.88"/>
    <col customWidth="1" min="7" max="7" width="22.13"/>
    <col customWidth="1" min="8" max="8" width="42.38"/>
    <col customWidth="1" min="9" max="9" width="24.88"/>
    <col customWidth="1" min="10" max="11" width="37.63"/>
    <col customWidth="1" min="12" max="12" width="29.0"/>
    <col customWidth="1" min="13" max="13" width="30.25"/>
    <col customWidth="1" min="14" max="14" width="25.88"/>
    <col customWidth="1" min="15" max="16" width="26.5"/>
    <col customWidth="1" min="17" max="17" width="24.25"/>
    <col customWidth="1" min="18" max="18" width="28.38"/>
    <col customWidth="1" min="19" max="19" width="46.13"/>
  </cols>
  <sheetData>
    <row r="1">
      <c r="A1" s="1"/>
      <c r="B1" s="2"/>
      <c r="C1" s="3"/>
      <c r="D1" s="4"/>
      <c r="E1" s="4"/>
      <c r="F1" s="4"/>
      <c r="G1" s="5"/>
      <c r="H1" s="4"/>
      <c r="I1" s="4"/>
      <c r="J1" s="4"/>
      <c r="K1" s="4"/>
      <c r="L1" s="5"/>
      <c r="M1" s="6"/>
      <c r="N1" s="6"/>
      <c r="O1" s="6"/>
      <c r="P1" s="6"/>
      <c r="Q1" s="6"/>
      <c r="R1" s="5"/>
      <c r="S1" s="5"/>
    </row>
    <row r="2" ht="21.75" customHeight="1">
      <c r="B2" s="7" t="s">
        <v>0</v>
      </c>
      <c r="C2" s="3"/>
      <c r="D2" s="8" t="s">
        <v>1</v>
      </c>
      <c r="E2" s="9">
        <f>(SUM(K:K)/60/24)</f>
        <v>0.1666666667</v>
      </c>
      <c r="F2" s="10" t="s">
        <v>49</v>
      </c>
      <c r="H2" s="4"/>
      <c r="I2" s="5"/>
      <c r="J2" s="6"/>
      <c r="K2" s="6"/>
      <c r="L2" s="6"/>
      <c r="M2" s="6"/>
      <c r="N2" s="6"/>
      <c r="O2" s="5"/>
      <c r="P2" s="5"/>
    </row>
    <row r="3">
      <c r="A3" s="4"/>
      <c r="B3" s="4"/>
      <c r="C3" s="4"/>
      <c r="D3" s="11" t="s">
        <v>3</v>
      </c>
      <c r="E3" s="9">
        <f>(SUM(L:L)/60/24)</f>
        <v>0.2743055556</v>
      </c>
      <c r="H3" s="4"/>
      <c r="I3" s="4"/>
      <c r="J3" s="4"/>
      <c r="K3" s="4"/>
      <c r="L3" s="5"/>
      <c r="M3" s="6"/>
      <c r="N3" s="6"/>
      <c r="O3" s="6"/>
      <c r="P3" s="6"/>
      <c r="Q3" s="6"/>
      <c r="R3" s="5"/>
      <c r="S3" s="5"/>
    </row>
    <row r="4" ht="18.75" customHeight="1">
      <c r="A4" s="1"/>
      <c r="B4" s="12" t="s">
        <v>4</v>
      </c>
      <c r="C4" s="13"/>
      <c r="D4" s="14" t="s">
        <v>5</v>
      </c>
      <c r="E4" s="9">
        <f>(SUM(Q:Q)/60/24)</f>
        <v>0</v>
      </c>
      <c r="H4" s="4"/>
      <c r="I4" s="4"/>
      <c r="J4" s="4"/>
      <c r="K4" s="4"/>
      <c r="L4" s="5"/>
      <c r="M4" s="6"/>
      <c r="N4" s="6"/>
      <c r="O4" s="6"/>
      <c r="P4" s="6"/>
      <c r="Q4" s="6"/>
      <c r="R4" s="5"/>
      <c r="S4" s="5"/>
    </row>
    <row r="5">
      <c r="A5" s="1"/>
      <c r="B5" s="12" t="s">
        <v>6</v>
      </c>
      <c r="C5" s="13"/>
      <c r="D5" s="11" t="s">
        <v>7</v>
      </c>
      <c r="E5" s="15">
        <f>SUM(E2:E4)</f>
        <v>0.4409722222</v>
      </c>
      <c r="H5" s="4"/>
      <c r="I5" s="4"/>
      <c r="J5" s="4"/>
      <c r="K5" s="4"/>
      <c r="L5" s="5"/>
      <c r="M5" s="6"/>
      <c r="N5" s="6"/>
      <c r="O5" s="6"/>
      <c r="P5" s="6"/>
      <c r="Q5" s="6"/>
      <c r="R5" s="5"/>
      <c r="S5" s="5"/>
    </row>
    <row r="6">
      <c r="A6" s="1"/>
      <c r="B6" s="2"/>
      <c r="C6" s="3"/>
      <c r="D6" s="4"/>
      <c r="E6" s="4"/>
      <c r="F6" s="4"/>
      <c r="G6" s="5"/>
      <c r="H6" s="4"/>
      <c r="I6" s="4"/>
      <c r="J6" s="4"/>
      <c r="K6" s="4"/>
      <c r="L6" s="5"/>
      <c r="M6" s="6"/>
      <c r="N6" s="6"/>
      <c r="O6" s="6"/>
      <c r="P6" s="6"/>
      <c r="Q6" s="6"/>
      <c r="R6" s="5"/>
      <c r="S6" s="5"/>
    </row>
    <row r="7" ht="26.25" customHeight="1">
      <c r="A7" s="16"/>
      <c r="B7" s="16"/>
      <c r="C7" s="4"/>
      <c r="D7" s="4"/>
      <c r="E7" s="4"/>
      <c r="F7" s="17"/>
      <c r="G7" s="18"/>
      <c r="H7" s="13"/>
      <c r="I7" s="4"/>
      <c r="J7" s="4"/>
      <c r="K7" s="4"/>
      <c r="L7" s="5"/>
      <c r="M7" s="6"/>
      <c r="N7" s="6"/>
      <c r="O7" s="6"/>
      <c r="P7" s="6"/>
      <c r="Q7" s="6"/>
      <c r="R7" s="5"/>
      <c r="S7" s="5"/>
    </row>
    <row r="8" ht="22.5" customHeight="1">
      <c r="A8" s="16"/>
      <c r="B8" s="19" t="s">
        <v>8</v>
      </c>
      <c r="C8" s="19" t="s">
        <v>9</v>
      </c>
      <c r="D8" s="19" t="s">
        <v>10</v>
      </c>
      <c r="E8" s="19" t="s">
        <v>11</v>
      </c>
      <c r="F8" s="19" t="s">
        <v>12</v>
      </c>
      <c r="G8" s="19" t="s">
        <v>13</v>
      </c>
      <c r="H8" s="19" t="s">
        <v>14</v>
      </c>
      <c r="I8" s="20" t="s">
        <v>15</v>
      </c>
      <c r="J8" s="21" t="s">
        <v>16</v>
      </c>
      <c r="K8" s="21" t="s">
        <v>17</v>
      </c>
      <c r="L8" s="21" t="s">
        <v>18</v>
      </c>
      <c r="M8" s="21" t="s">
        <v>19</v>
      </c>
      <c r="N8" s="21" t="s">
        <v>20</v>
      </c>
      <c r="O8" s="20" t="s">
        <v>21</v>
      </c>
      <c r="P8" s="20" t="s">
        <v>22</v>
      </c>
      <c r="Q8" s="21" t="s">
        <v>23</v>
      </c>
      <c r="R8" s="20" t="s">
        <v>24</v>
      </c>
      <c r="S8" s="20" t="s">
        <v>25</v>
      </c>
    </row>
    <row r="9" ht="22.5" customHeight="1">
      <c r="A9" s="16"/>
      <c r="B9" s="22" t="s">
        <v>26</v>
      </c>
      <c r="C9" s="37" t="s">
        <v>50</v>
      </c>
      <c r="D9" s="28" t="s">
        <v>51</v>
      </c>
      <c r="E9" s="38">
        <v>1.0</v>
      </c>
      <c r="F9" s="28" t="s">
        <v>52</v>
      </c>
      <c r="G9" s="28" t="s">
        <v>30</v>
      </c>
      <c r="H9" s="28" t="s">
        <v>31</v>
      </c>
      <c r="I9" s="39" t="s">
        <v>53</v>
      </c>
      <c r="J9" s="30">
        <v>3.0</v>
      </c>
      <c r="K9" s="30">
        <v>0.0</v>
      </c>
      <c r="L9" s="32">
        <v>120.0</v>
      </c>
      <c r="M9" s="32">
        <v>2.0</v>
      </c>
      <c r="N9" s="32" t="s">
        <v>54</v>
      </c>
      <c r="O9" s="33" t="s">
        <v>55</v>
      </c>
      <c r="P9" s="33" t="s">
        <v>35</v>
      </c>
      <c r="Q9" s="32"/>
      <c r="R9" s="34" t="s">
        <v>56</v>
      </c>
      <c r="S9" s="34" t="s">
        <v>57</v>
      </c>
    </row>
    <row r="10" ht="22.5" customHeight="1">
      <c r="A10" s="16"/>
      <c r="B10" s="22" t="s">
        <v>26</v>
      </c>
      <c r="C10" s="37" t="s">
        <v>50</v>
      </c>
      <c r="D10" s="28" t="s">
        <v>58</v>
      </c>
      <c r="E10" s="38">
        <v>1.0</v>
      </c>
      <c r="F10" s="28" t="s">
        <v>58</v>
      </c>
      <c r="G10" s="28" t="s">
        <v>58</v>
      </c>
      <c r="H10" s="28" t="s">
        <v>58</v>
      </c>
      <c r="I10" s="39" t="s">
        <v>34</v>
      </c>
      <c r="J10" s="30">
        <v>3.0</v>
      </c>
      <c r="K10" s="30">
        <v>0.0</v>
      </c>
      <c r="L10" s="32">
        <v>0.0</v>
      </c>
      <c r="M10" s="32">
        <v>0.0</v>
      </c>
      <c r="N10" s="32" t="s">
        <v>54</v>
      </c>
      <c r="O10" s="33" t="s">
        <v>55</v>
      </c>
      <c r="P10" s="33" t="s">
        <v>55</v>
      </c>
      <c r="Q10" s="32"/>
      <c r="R10" s="34" t="s">
        <v>33</v>
      </c>
      <c r="S10" s="34" t="s">
        <v>37</v>
      </c>
    </row>
    <row r="11" ht="22.5" customHeight="1">
      <c r="A11" s="16"/>
      <c r="B11" s="22" t="s">
        <v>26</v>
      </c>
      <c r="C11" s="37" t="s">
        <v>50</v>
      </c>
      <c r="D11" s="28" t="s">
        <v>58</v>
      </c>
      <c r="E11" s="38">
        <v>2.0</v>
      </c>
      <c r="F11" s="28" t="s">
        <v>59</v>
      </c>
      <c r="G11" s="28" t="s">
        <v>58</v>
      </c>
      <c r="H11" s="28" t="s">
        <v>58</v>
      </c>
      <c r="I11" s="39" t="s">
        <v>36</v>
      </c>
      <c r="J11" s="30">
        <v>1.0</v>
      </c>
      <c r="K11" s="30">
        <v>120.0</v>
      </c>
      <c r="L11" s="32">
        <v>0.0</v>
      </c>
      <c r="M11" s="32">
        <v>1.0</v>
      </c>
      <c r="N11" s="32" t="s">
        <v>60</v>
      </c>
      <c r="O11" s="33" t="s">
        <v>55</v>
      </c>
      <c r="P11" s="33" t="s">
        <v>55</v>
      </c>
      <c r="Q11" s="32"/>
      <c r="R11" s="34" t="s">
        <v>33</v>
      </c>
      <c r="S11" s="34" t="s">
        <v>37</v>
      </c>
    </row>
    <row r="12" ht="22.5" customHeight="1">
      <c r="A12" s="16"/>
      <c r="B12" s="22" t="s">
        <v>26</v>
      </c>
      <c r="C12" s="37" t="s">
        <v>50</v>
      </c>
      <c r="D12" s="28" t="s">
        <v>58</v>
      </c>
      <c r="E12" s="38">
        <v>3.0</v>
      </c>
      <c r="F12" s="28" t="s">
        <v>61</v>
      </c>
      <c r="G12" s="28" t="s">
        <v>58</v>
      </c>
      <c r="H12" s="28" t="s">
        <v>58</v>
      </c>
      <c r="I12" s="39" t="s">
        <v>53</v>
      </c>
      <c r="J12" s="30">
        <v>1.0</v>
      </c>
      <c r="K12" s="30"/>
      <c r="L12" s="32">
        <v>40.0</v>
      </c>
      <c r="M12" s="32">
        <v>1.0</v>
      </c>
      <c r="N12" s="32" t="s">
        <v>54</v>
      </c>
      <c r="O12" s="33" t="s">
        <v>55</v>
      </c>
      <c r="P12" s="33" t="s">
        <v>40</v>
      </c>
      <c r="Q12" s="32"/>
      <c r="R12" s="34" t="s">
        <v>33</v>
      </c>
      <c r="S12" s="34" t="s">
        <v>37</v>
      </c>
    </row>
    <row r="13" ht="22.5" customHeight="1">
      <c r="A13" s="16"/>
      <c r="B13" s="22" t="s">
        <v>41</v>
      </c>
      <c r="C13" s="37" t="s">
        <v>62</v>
      </c>
      <c r="D13" s="28" t="s">
        <v>51</v>
      </c>
      <c r="E13" s="38">
        <v>1.0</v>
      </c>
      <c r="F13" s="28" t="s">
        <v>52</v>
      </c>
      <c r="G13" s="28" t="s">
        <v>30</v>
      </c>
      <c r="H13" s="28" t="s">
        <v>31</v>
      </c>
      <c r="I13" s="39" t="s">
        <v>53</v>
      </c>
      <c r="J13" s="30">
        <v>3.0</v>
      </c>
      <c r="K13" s="30">
        <v>0.0</v>
      </c>
      <c r="L13" s="32">
        <v>120.0</v>
      </c>
      <c r="M13" s="32">
        <v>2.0</v>
      </c>
      <c r="N13" s="32" t="s">
        <v>54</v>
      </c>
      <c r="O13" s="33" t="s">
        <v>55</v>
      </c>
      <c r="P13" s="33" t="s">
        <v>35</v>
      </c>
      <c r="Q13" s="32"/>
      <c r="R13" s="34" t="s">
        <v>56</v>
      </c>
      <c r="S13" s="34" t="s">
        <v>57</v>
      </c>
    </row>
    <row r="14" ht="22.5" customHeight="1">
      <c r="A14" s="16"/>
      <c r="B14" s="22" t="s">
        <v>41</v>
      </c>
      <c r="C14" s="37" t="s">
        <v>62</v>
      </c>
      <c r="D14" s="28" t="s">
        <v>58</v>
      </c>
      <c r="E14" s="38">
        <v>1.0</v>
      </c>
      <c r="F14" s="28" t="s">
        <v>58</v>
      </c>
      <c r="G14" s="28" t="s">
        <v>58</v>
      </c>
      <c r="H14" s="28" t="s">
        <v>58</v>
      </c>
      <c r="I14" s="39" t="s">
        <v>34</v>
      </c>
      <c r="J14" s="30">
        <v>3.0</v>
      </c>
      <c r="K14" s="30">
        <v>0.0</v>
      </c>
      <c r="L14" s="32">
        <v>0.0</v>
      </c>
      <c r="M14" s="32">
        <v>0.0</v>
      </c>
      <c r="N14" s="32" t="s">
        <v>54</v>
      </c>
      <c r="O14" s="33" t="s">
        <v>55</v>
      </c>
      <c r="P14" s="33" t="s">
        <v>55</v>
      </c>
      <c r="Q14" s="32"/>
      <c r="R14" s="34" t="s">
        <v>33</v>
      </c>
      <c r="S14" s="34" t="s">
        <v>37</v>
      </c>
    </row>
    <row r="15" ht="22.5" customHeight="1">
      <c r="A15" s="16"/>
      <c r="B15" s="22" t="s">
        <v>41</v>
      </c>
      <c r="C15" s="37" t="s">
        <v>62</v>
      </c>
      <c r="D15" s="28" t="s">
        <v>58</v>
      </c>
      <c r="E15" s="38">
        <v>2.0</v>
      </c>
      <c r="F15" s="28" t="s">
        <v>59</v>
      </c>
      <c r="G15" s="28" t="s">
        <v>58</v>
      </c>
      <c r="H15" s="28" t="s">
        <v>58</v>
      </c>
      <c r="I15" s="39" t="s">
        <v>36</v>
      </c>
      <c r="J15" s="30">
        <v>1.0</v>
      </c>
      <c r="K15" s="30">
        <v>120.0</v>
      </c>
      <c r="L15" s="32">
        <v>0.0</v>
      </c>
      <c r="M15" s="32">
        <v>1.0</v>
      </c>
      <c r="N15" s="32" t="s">
        <v>60</v>
      </c>
      <c r="O15" s="33" t="s">
        <v>55</v>
      </c>
      <c r="P15" s="33" t="s">
        <v>55</v>
      </c>
      <c r="Q15" s="32"/>
      <c r="R15" s="34" t="s">
        <v>33</v>
      </c>
      <c r="S15" s="34" t="s">
        <v>37</v>
      </c>
    </row>
    <row r="16" ht="22.5" customHeight="1">
      <c r="A16" s="16"/>
      <c r="B16" s="22" t="s">
        <v>41</v>
      </c>
      <c r="C16" s="37" t="s">
        <v>62</v>
      </c>
      <c r="D16" s="28" t="s">
        <v>58</v>
      </c>
      <c r="E16" s="38">
        <v>3.0</v>
      </c>
      <c r="F16" s="28" t="s">
        <v>61</v>
      </c>
      <c r="G16" s="28" t="s">
        <v>58</v>
      </c>
      <c r="H16" s="28" t="s">
        <v>58</v>
      </c>
      <c r="I16" s="39" t="s">
        <v>53</v>
      </c>
      <c r="J16" s="30">
        <v>1.0</v>
      </c>
      <c r="K16" s="30"/>
      <c r="L16" s="32">
        <v>40.0</v>
      </c>
      <c r="M16" s="32">
        <v>1.0</v>
      </c>
      <c r="N16" s="32" t="s">
        <v>54</v>
      </c>
      <c r="O16" s="33" t="s">
        <v>55</v>
      </c>
      <c r="P16" s="33" t="s">
        <v>40</v>
      </c>
      <c r="Q16" s="32"/>
      <c r="R16" s="34" t="s">
        <v>33</v>
      </c>
      <c r="S16" s="34" t="s">
        <v>37</v>
      </c>
    </row>
    <row r="17" ht="22.5" customHeight="1">
      <c r="A17" s="16"/>
      <c r="B17" s="22" t="s">
        <v>41</v>
      </c>
      <c r="C17" s="37" t="s">
        <v>62</v>
      </c>
      <c r="D17" s="28" t="s">
        <v>58</v>
      </c>
      <c r="E17" s="38">
        <v>4.0</v>
      </c>
      <c r="F17" s="28" t="s">
        <v>63</v>
      </c>
      <c r="G17" s="28" t="s">
        <v>30</v>
      </c>
      <c r="H17" s="28" t="s">
        <v>31</v>
      </c>
      <c r="I17" s="39" t="s">
        <v>38</v>
      </c>
      <c r="J17" s="30">
        <v>1.0</v>
      </c>
      <c r="K17" s="30">
        <v>0.0</v>
      </c>
      <c r="L17" s="32">
        <v>75.0</v>
      </c>
      <c r="M17" s="32"/>
      <c r="N17" s="32" t="s">
        <v>54</v>
      </c>
      <c r="O17" s="33" t="s">
        <v>55</v>
      </c>
      <c r="P17" s="33" t="s">
        <v>55</v>
      </c>
      <c r="Q17" s="32"/>
      <c r="R17" s="34" t="s">
        <v>33</v>
      </c>
      <c r="S17" s="34" t="s">
        <v>37</v>
      </c>
    </row>
  </sheetData>
  <customSheetViews>
    <customSheetView guid="{49FF6D53-992D-4646-A2FC-08831FD96999}" filter="1" showAutoFilter="1">
      <autoFilter ref="$B$8:$S$17"/>
    </customSheetView>
  </customSheetViews>
  <mergeCells count="7">
    <mergeCell ref="B1:C1"/>
    <mergeCell ref="B2:C2"/>
    <mergeCell ref="F2:G5"/>
    <mergeCell ref="B4:C4"/>
    <mergeCell ref="B5:C5"/>
    <mergeCell ref="B6:C6"/>
    <mergeCell ref="F7:H7"/>
  </mergeCells>
  <dataValidations>
    <dataValidation type="list" allowBlank="1" sqref="I9:I17">
      <formula1>"Vídeo aula (roteiro,Slide,Plano de Aula,Fórum,PDF (avulso),Tela Interativa,Quiz,Ebook"</formula1>
    </dataValidation>
    <dataValidation type="custom" allowBlank="1" showDropDown="1" sqref="E9:E17 J9:K17">
      <formula1>AND(ISNUMBER(E9),(NOT(OR(NOT(ISERROR(DATEVALUE(E9))), AND(ISNUMBER(E9), LEFT(CELL("format", E9))="D")))))</formula1>
    </dataValidation>
    <dataValidation type="list" allowBlank="1" sqref="O9:P17">
      <formula1>"Não prevista,Quiz,Atividade Aberta,Genially,Portfólio (várias atividades),Idem"</formula1>
    </dataValidation>
    <dataValidation allowBlank="1" showDropDown="1" sqref="B9:B17 D9:D17 F9:H17"/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1.75"/>
    <col customWidth="1" min="2" max="2" width="17.25"/>
    <col customWidth="1" min="3" max="3" width="33.75"/>
    <col customWidth="1" min="4" max="4" width="41.63"/>
    <col customWidth="1" min="5" max="5" width="16.5"/>
    <col customWidth="1" min="6" max="6" width="40.88"/>
    <col customWidth="1" min="7" max="7" width="22.13"/>
    <col customWidth="1" min="8" max="8" width="42.38"/>
    <col customWidth="1" min="9" max="9" width="24.88"/>
    <col customWidth="1" min="10" max="11" width="37.63"/>
    <col customWidth="1" min="12" max="12" width="29.0"/>
    <col customWidth="1" min="13" max="13" width="30.25"/>
    <col customWidth="1" min="14" max="14" width="25.88"/>
    <col customWidth="1" min="15" max="16" width="26.5"/>
    <col customWidth="1" min="17" max="17" width="24.25"/>
    <col customWidth="1" min="18" max="18" width="28.38"/>
    <col customWidth="1" min="19" max="19" width="46.13"/>
  </cols>
  <sheetData>
    <row r="1">
      <c r="A1" s="1"/>
      <c r="B1" s="2"/>
      <c r="C1" s="3"/>
      <c r="D1" s="4"/>
      <c r="E1" s="4"/>
      <c r="F1" s="4"/>
      <c r="G1" s="5"/>
      <c r="H1" s="4"/>
      <c r="I1" s="4"/>
      <c r="J1" s="4"/>
      <c r="K1" s="4"/>
      <c r="L1" s="5"/>
      <c r="M1" s="6"/>
      <c r="N1" s="6"/>
      <c r="O1" s="6"/>
      <c r="P1" s="6"/>
      <c r="Q1" s="6"/>
      <c r="R1" s="5"/>
      <c r="S1" s="5"/>
    </row>
    <row r="2" ht="21.75" customHeight="1">
      <c r="B2" s="7" t="s">
        <v>0</v>
      </c>
      <c r="C2" s="3"/>
      <c r="D2" s="8" t="s">
        <v>1</v>
      </c>
      <c r="E2" s="9">
        <f>(SUM(K:K)/60/24)</f>
        <v>0.375</v>
      </c>
      <c r="F2" s="10" t="s">
        <v>64</v>
      </c>
      <c r="H2" s="4"/>
      <c r="I2" s="5"/>
      <c r="J2" s="6"/>
      <c r="K2" s="6"/>
      <c r="L2" s="6"/>
      <c r="M2" s="6"/>
      <c r="N2" s="6"/>
      <c r="O2" s="5"/>
      <c r="P2" s="5"/>
    </row>
    <row r="3">
      <c r="A3" s="4"/>
      <c r="B3" s="4"/>
      <c r="C3" s="4"/>
      <c r="D3" s="11" t="s">
        <v>3</v>
      </c>
      <c r="E3" s="9">
        <f>(SUM(L:L)/60/24)</f>
        <v>1.083333333</v>
      </c>
      <c r="H3" s="4"/>
      <c r="I3" s="4"/>
      <c r="J3" s="4"/>
      <c r="K3" s="4"/>
      <c r="L3" s="5"/>
      <c r="M3" s="6"/>
      <c r="N3" s="6"/>
      <c r="O3" s="6"/>
      <c r="P3" s="6"/>
      <c r="Q3" s="6"/>
      <c r="R3" s="5"/>
      <c r="S3" s="5"/>
    </row>
    <row r="4" ht="18.75" customHeight="1">
      <c r="A4" s="1"/>
      <c r="B4" s="12" t="s">
        <v>4</v>
      </c>
      <c r="C4" s="13"/>
      <c r="D4" s="14" t="s">
        <v>5</v>
      </c>
      <c r="E4" s="9">
        <f>(SUM(Q:Q)/60/24)</f>
        <v>0</v>
      </c>
      <c r="H4" s="4"/>
      <c r="I4" s="4"/>
      <c r="J4" s="4"/>
      <c r="K4" s="4"/>
      <c r="L4" s="5"/>
      <c r="M4" s="6"/>
      <c r="N4" s="6"/>
      <c r="O4" s="6"/>
      <c r="P4" s="6"/>
      <c r="Q4" s="6"/>
      <c r="R4" s="5"/>
      <c r="S4" s="5"/>
    </row>
    <row r="5">
      <c r="A5" s="1"/>
      <c r="B5" s="12" t="s">
        <v>6</v>
      </c>
      <c r="C5" s="13"/>
      <c r="D5" s="11" t="s">
        <v>7</v>
      </c>
      <c r="E5" s="15">
        <f>SUM(E2:E4)</f>
        <v>1.458333333</v>
      </c>
      <c r="H5" s="4"/>
      <c r="I5" s="4"/>
      <c r="J5" s="4"/>
      <c r="K5" s="4"/>
      <c r="L5" s="5"/>
      <c r="M5" s="6"/>
      <c r="N5" s="6"/>
      <c r="O5" s="6"/>
      <c r="P5" s="6"/>
      <c r="Q5" s="6"/>
      <c r="R5" s="5"/>
      <c r="S5" s="5"/>
    </row>
    <row r="6">
      <c r="A6" s="1"/>
      <c r="B6" s="2"/>
      <c r="C6" s="3"/>
      <c r="D6" s="4"/>
      <c r="E6" s="4"/>
      <c r="F6" s="4"/>
      <c r="G6" s="5"/>
      <c r="H6" s="4"/>
      <c r="I6" s="4"/>
      <c r="J6" s="4"/>
      <c r="K6" s="4"/>
      <c r="L6" s="5"/>
      <c r="M6" s="6"/>
      <c r="N6" s="6"/>
      <c r="O6" s="6"/>
      <c r="P6" s="6"/>
      <c r="Q6" s="6"/>
      <c r="R6" s="5"/>
      <c r="S6" s="5"/>
    </row>
    <row r="7" ht="26.25" customHeight="1">
      <c r="A7" s="16"/>
      <c r="B7" s="16"/>
      <c r="C7" s="4"/>
      <c r="D7" s="4"/>
      <c r="E7" s="4"/>
      <c r="F7" s="17"/>
      <c r="G7" s="18"/>
      <c r="H7" s="13"/>
      <c r="I7" s="4"/>
      <c r="J7" s="4"/>
      <c r="K7" s="4"/>
      <c r="L7" s="5"/>
      <c r="M7" s="6"/>
      <c r="N7" s="6"/>
      <c r="O7" s="6"/>
      <c r="P7" s="6"/>
      <c r="Q7" s="6"/>
      <c r="R7" s="5"/>
      <c r="S7" s="5"/>
    </row>
    <row r="8" ht="22.5" customHeight="1">
      <c r="A8" s="16"/>
      <c r="B8" s="19" t="s">
        <v>8</v>
      </c>
      <c r="C8" s="19" t="s">
        <v>9</v>
      </c>
      <c r="D8" s="19" t="s">
        <v>10</v>
      </c>
      <c r="E8" s="19" t="s">
        <v>11</v>
      </c>
      <c r="F8" s="19" t="s">
        <v>12</v>
      </c>
      <c r="G8" s="19" t="s">
        <v>13</v>
      </c>
      <c r="H8" s="19" t="s">
        <v>14</v>
      </c>
      <c r="I8" s="20" t="s">
        <v>15</v>
      </c>
      <c r="J8" s="21" t="s">
        <v>16</v>
      </c>
      <c r="K8" s="21" t="s">
        <v>17</v>
      </c>
      <c r="L8" s="21" t="s">
        <v>18</v>
      </c>
      <c r="M8" s="21" t="s">
        <v>19</v>
      </c>
      <c r="N8" s="21" t="s">
        <v>20</v>
      </c>
      <c r="O8" s="20" t="s">
        <v>21</v>
      </c>
      <c r="P8" s="20" t="s">
        <v>22</v>
      </c>
      <c r="Q8" s="21" t="s">
        <v>23</v>
      </c>
      <c r="R8" s="20" t="s">
        <v>24</v>
      </c>
      <c r="S8" s="20" t="s">
        <v>25</v>
      </c>
    </row>
    <row r="9" ht="22.5" customHeight="1">
      <c r="A9" s="16"/>
      <c r="B9" s="22" t="s">
        <v>26</v>
      </c>
      <c r="C9" s="40" t="s">
        <v>65</v>
      </c>
      <c r="D9" s="28" t="s">
        <v>66</v>
      </c>
      <c r="E9" s="38">
        <v>1.0</v>
      </c>
      <c r="F9" s="28" t="s">
        <v>67</v>
      </c>
      <c r="G9" s="28" t="s">
        <v>30</v>
      </c>
      <c r="H9" s="28" t="s">
        <v>31</v>
      </c>
      <c r="I9" s="39" t="s">
        <v>53</v>
      </c>
      <c r="J9" s="30">
        <v>6.0</v>
      </c>
      <c r="K9" s="30">
        <v>0.0</v>
      </c>
      <c r="L9" s="32">
        <v>280.0</v>
      </c>
      <c r="M9" s="32">
        <v>3.0</v>
      </c>
      <c r="N9" s="32" t="s">
        <v>54</v>
      </c>
      <c r="O9" s="33" t="s">
        <v>55</v>
      </c>
      <c r="P9" s="33" t="s">
        <v>35</v>
      </c>
      <c r="Q9" s="32"/>
      <c r="R9" s="34" t="s">
        <v>56</v>
      </c>
      <c r="S9" s="34" t="s">
        <v>57</v>
      </c>
    </row>
    <row r="10" ht="22.5" customHeight="1">
      <c r="A10" s="16"/>
      <c r="B10" s="22" t="s">
        <v>26</v>
      </c>
      <c r="C10" s="37" t="s">
        <v>68</v>
      </c>
      <c r="D10" s="28" t="s">
        <v>58</v>
      </c>
      <c r="E10" s="38">
        <v>1.0</v>
      </c>
      <c r="F10" s="28" t="s">
        <v>58</v>
      </c>
      <c r="G10" s="28" t="s">
        <v>30</v>
      </c>
      <c r="H10" s="28" t="s">
        <v>31</v>
      </c>
      <c r="I10" s="39" t="s">
        <v>34</v>
      </c>
      <c r="J10" s="30">
        <v>6.0</v>
      </c>
      <c r="K10" s="30">
        <v>0.0</v>
      </c>
      <c r="L10" s="32">
        <v>0.0</v>
      </c>
      <c r="M10" s="32">
        <v>0.0</v>
      </c>
      <c r="N10" s="32" t="s">
        <v>54</v>
      </c>
      <c r="O10" s="33" t="s">
        <v>55</v>
      </c>
      <c r="P10" s="33" t="s">
        <v>55</v>
      </c>
      <c r="Q10" s="32"/>
      <c r="R10" s="34" t="s">
        <v>33</v>
      </c>
      <c r="S10" s="34"/>
    </row>
    <row r="11" ht="22.5" customHeight="1">
      <c r="A11" s="16"/>
      <c r="B11" s="22" t="s">
        <v>26</v>
      </c>
      <c r="C11" s="37" t="s">
        <v>68</v>
      </c>
      <c r="D11" s="28" t="s">
        <v>58</v>
      </c>
      <c r="E11" s="38">
        <v>2.0</v>
      </c>
      <c r="F11" s="28" t="s">
        <v>69</v>
      </c>
      <c r="G11" s="28" t="s">
        <v>30</v>
      </c>
      <c r="H11" s="28" t="s">
        <v>31</v>
      </c>
      <c r="I11" s="39" t="s">
        <v>36</v>
      </c>
      <c r="J11" s="30">
        <v>1.0</v>
      </c>
      <c r="K11" s="30">
        <v>180.0</v>
      </c>
      <c r="L11" s="32">
        <v>0.0</v>
      </c>
      <c r="M11" s="32">
        <v>1.0</v>
      </c>
      <c r="N11" s="32" t="s">
        <v>60</v>
      </c>
      <c r="O11" s="33" t="s">
        <v>55</v>
      </c>
      <c r="P11" s="33" t="s">
        <v>55</v>
      </c>
      <c r="Q11" s="32"/>
      <c r="R11" s="34" t="s">
        <v>33</v>
      </c>
      <c r="S11" s="34"/>
    </row>
    <row r="12" ht="22.5" customHeight="1">
      <c r="A12" s="16"/>
      <c r="B12" s="22" t="s">
        <v>26</v>
      </c>
      <c r="C12" s="37" t="s">
        <v>68</v>
      </c>
      <c r="D12" s="28" t="s">
        <v>58</v>
      </c>
      <c r="E12" s="38">
        <v>3.0</v>
      </c>
      <c r="F12" s="28" t="s">
        <v>70</v>
      </c>
      <c r="G12" s="28" t="s">
        <v>30</v>
      </c>
      <c r="H12" s="28" t="s">
        <v>31</v>
      </c>
      <c r="I12" s="39" t="s">
        <v>53</v>
      </c>
      <c r="J12" s="30">
        <v>1.0</v>
      </c>
      <c r="K12" s="30">
        <v>0.0</v>
      </c>
      <c r="L12" s="32">
        <v>60.0</v>
      </c>
      <c r="M12" s="32">
        <v>1.0</v>
      </c>
      <c r="N12" s="32" t="s">
        <v>54</v>
      </c>
      <c r="O12" s="33" t="s">
        <v>55</v>
      </c>
      <c r="P12" s="33" t="s">
        <v>40</v>
      </c>
      <c r="Q12" s="32"/>
      <c r="R12" s="34" t="s">
        <v>33</v>
      </c>
      <c r="S12" s="34"/>
    </row>
    <row r="13" ht="22.5" customHeight="1">
      <c r="A13" s="16"/>
      <c r="B13" s="22" t="s">
        <v>26</v>
      </c>
      <c r="C13" s="37" t="s">
        <v>68</v>
      </c>
      <c r="D13" s="28" t="s">
        <v>58</v>
      </c>
      <c r="E13" s="38">
        <v>4.0</v>
      </c>
      <c r="F13" s="28" t="s">
        <v>71</v>
      </c>
      <c r="G13" s="28" t="s">
        <v>30</v>
      </c>
      <c r="H13" s="28" t="s">
        <v>31</v>
      </c>
      <c r="I13" s="39" t="s">
        <v>38</v>
      </c>
      <c r="J13" s="30">
        <v>1.0</v>
      </c>
      <c r="K13" s="30">
        <v>0.0</v>
      </c>
      <c r="L13" s="32"/>
      <c r="M13" s="32">
        <v>1.0</v>
      </c>
      <c r="N13" s="32" t="s">
        <v>54</v>
      </c>
      <c r="O13" s="33" t="s">
        <v>55</v>
      </c>
      <c r="P13" s="33" t="s">
        <v>55</v>
      </c>
      <c r="Q13" s="32"/>
      <c r="R13" s="34" t="s">
        <v>33</v>
      </c>
      <c r="S13" s="34"/>
    </row>
    <row r="14" ht="22.5" customHeight="1">
      <c r="A14" s="16"/>
      <c r="B14" s="22" t="s">
        <v>41</v>
      </c>
      <c r="C14" s="37" t="s">
        <v>72</v>
      </c>
      <c r="D14" s="28" t="s">
        <v>73</v>
      </c>
      <c r="E14" s="38">
        <v>1.0</v>
      </c>
      <c r="F14" s="28" t="s">
        <v>74</v>
      </c>
      <c r="G14" s="28" t="s">
        <v>30</v>
      </c>
      <c r="H14" s="28" t="s">
        <v>31</v>
      </c>
      <c r="I14" s="39" t="s">
        <v>53</v>
      </c>
      <c r="J14" s="30">
        <v>5.0</v>
      </c>
      <c r="K14" s="30">
        <v>0.0</v>
      </c>
      <c r="L14" s="32">
        <v>420.0</v>
      </c>
      <c r="M14" s="32">
        <v>3.0</v>
      </c>
      <c r="N14" s="32" t="s">
        <v>54</v>
      </c>
      <c r="O14" s="33" t="s">
        <v>55</v>
      </c>
      <c r="P14" s="33" t="s">
        <v>35</v>
      </c>
      <c r="Q14" s="32"/>
      <c r="R14" s="34" t="s">
        <v>75</v>
      </c>
      <c r="S14" s="34" t="s">
        <v>57</v>
      </c>
    </row>
    <row r="15" ht="22.5" customHeight="1">
      <c r="A15" s="16"/>
      <c r="B15" s="22" t="s">
        <v>41</v>
      </c>
      <c r="C15" s="37" t="s">
        <v>72</v>
      </c>
      <c r="D15" s="28" t="s">
        <v>58</v>
      </c>
      <c r="E15" s="38">
        <v>1.0</v>
      </c>
      <c r="F15" s="28" t="s">
        <v>58</v>
      </c>
      <c r="G15" s="28" t="s">
        <v>58</v>
      </c>
      <c r="H15" s="28" t="s">
        <v>58</v>
      </c>
      <c r="I15" s="39" t="s">
        <v>34</v>
      </c>
      <c r="J15" s="30">
        <v>5.0</v>
      </c>
      <c r="K15" s="30">
        <v>0.0</v>
      </c>
      <c r="L15" s="32">
        <v>0.0</v>
      </c>
      <c r="M15" s="32">
        <v>0.0</v>
      </c>
      <c r="N15" s="32" t="s">
        <v>54</v>
      </c>
      <c r="O15" s="33" t="s">
        <v>55</v>
      </c>
      <c r="P15" s="33" t="s">
        <v>55</v>
      </c>
      <c r="Q15" s="32"/>
      <c r="R15" s="34" t="s">
        <v>33</v>
      </c>
      <c r="S15" s="34" t="s">
        <v>33</v>
      </c>
    </row>
    <row r="16" ht="22.5" customHeight="1">
      <c r="A16" s="16"/>
      <c r="B16" s="22" t="s">
        <v>41</v>
      </c>
      <c r="C16" s="37" t="s">
        <v>72</v>
      </c>
      <c r="D16" s="28" t="s">
        <v>58</v>
      </c>
      <c r="E16" s="38">
        <v>2.0</v>
      </c>
      <c r="F16" s="28" t="s">
        <v>76</v>
      </c>
      <c r="G16" s="28" t="s">
        <v>58</v>
      </c>
      <c r="H16" s="28" t="s">
        <v>58</v>
      </c>
      <c r="I16" s="39" t="s">
        <v>36</v>
      </c>
      <c r="J16" s="30">
        <v>1.0</v>
      </c>
      <c r="K16" s="30">
        <v>180.0</v>
      </c>
      <c r="L16" s="32">
        <v>0.0</v>
      </c>
      <c r="M16" s="32">
        <v>1.0</v>
      </c>
      <c r="N16" s="32" t="s">
        <v>60</v>
      </c>
      <c r="O16" s="33" t="s">
        <v>55</v>
      </c>
      <c r="P16" s="33" t="s">
        <v>55</v>
      </c>
      <c r="Q16" s="32"/>
      <c r="R16" s="34" t="s">
        <v>33</v>
      </c>
      <c r="S16" s="34" t="s">
        <v>33</v>
      </c>
    </row>
    <row r="17" ht="22.5" customHeight="1">
      <c r="A17" s="16"/>
      <c r="B17" s="22" t="s">
        <v>41</v>
      </c>
      <c r="C17" s="37" t="s">
        <v>72</v>
      </c>
      <c r="D17" s="28" t="s">
        <v>58</v>
      </c>
      <c r="E17" s="38">
        <v>3.0</v>
      </c>
      <c r="F17" s="28" t="s">
        <v>77</v>
      </c>
      <c r="G17" s="28" t="s">
        <v>58</v>
      </c>
      <c r="H17" s="28" t="s">
        <v>58</v>
      </c>
      <c r="I17" s="39" t="s">
        <v>53</v>
      </c>
      <c r="J17" s="30">
        <v>1.0</v>
      </c>
      <c r="K17" s="30">
        <v>0.0</v>
      </c>
      <c r="L17" s="32">
        <v>180.0</v>
      </c>
      <c r="M17" s="32">
        <v>1.0</v>
      </c>
      <c r="N17" s="32" t="s">
        <v>54</v>
      </c>
      <c r="O17" s="33" t="s">
        <v>55</v>
      </c>
      <c r="P17" s="33" t="s">
        <v>40</v>
      </c>
      <c r="Q17" s="32"/>
      <c r="R17" s="34" t="s">
        <v>33</v>
      </c>
      <c r="S17" s="34" t="s">
        <v>33</v>
      </c>
    </row>
    <row r="18" ht="22.5" customHeight="1">
      <c r="A18" s="16"/>
      <c r="B18" s="22" t="s">
        <v>41</v>
      </c>
      <c r="C18" s="37" t="s">
        <v>72</v>
      </c>
      <c r="D18" s="28" t="s">
        <v>58</v>
      </c>
      <c r="E18" s="38">
        <v>4.0</v>
      </c>
      <c r="F18" s="28" t="s">
        <v>78</v>
      </c>
      <c r="G18" s="28" t="s">
        <v>30</v>
      </c>
      <c r="H18" s="28" t="s">
        <v>31</v>
      </c>
      <c r="I18" s="39" t="s">
        <v>38</v>
      </c>
      <c r="J18" s="30">
        <v>1.0</v>
      </c>
      <c r="K18" s="30">
        <v>0.0</v>
      </c>
      <c r="L18" s="32">
        <v>150.0</v>
      </c>
      <c r="M18" s="32"/>
      <c r="N18" s="32" t="s">
        <v>54</v>
      </c>
      <c r="O18" s="33" t="s">
        <v>55</v>
      </c>
      <c r="P18" s="33" t="s">
        <v>55</v>
      </c>
      <c r="Q18" s="32"/>
      <c r="R18" s="34" t="s">
        <v>58</v>
      </c>
      <c r="S18" s="34" t="s">
        <v>33</v>
      </c>
    </row>
    <row r="19" ht="22.5" customHeight="1">
      <c r="A19" s="16"/>
      <c r="B19" s="22" t="s">
        <v>45</v>
      </c>
      <c r="C19" s="37" t="s">
        <v>79</v>
      </c>
      <c r="D19" s="28" t="s">
        <v>80</v>
      </c>
      <c r="E19" s="38">
        <v>1.0</v>
      </c>
      <c r="F19" s="28" t="s">
        <v>81</v>
      </c>
      <c r="G19" s="28" t="s">
        <v>30</v>
      </c>
      <c r="H19" s="28" t="s">
        <v>31</v>
      </c>
      <c r="I19" s="39" t="s">
        <v>53</v>
      </c>
      <c r="J19" s="30">
        <v>3.0</v>
      </c>
      <c r="K19" s="30">
        <v>0.0</v>
      </c>
      <c r="L19" s="32">
        <v>240.0</v>
      </c>
      <c r="M19" s="32">
        <v>2.0</v>
      </c>
      <c r="N19" s="32" t="s">
        <v>54</v>
      </c>
      <c r="O19" s="33" t="s">
        <v>55</v>
      </c>
      <c r="P19" s="33" t="s">
        <v>35</v>
      </c>
      <c r="Q19" s="32"/>
      <c r="R19" s="34" t="s">
        <v>75</v>
      </c>
      <c r="S19" s="34" t="s">
        <v>57</v>
      </c>
    </row>
    <row r="20" ht="22.5" customHeight="1">
      <c r="A20" s="16"/>
      <c r="B20" s="22" t="s">
        <v>45</v>
      </c>
      <c r="C20" s="37" t="s">
        <v>79</v>
      </c>
      <c r="D20" s="28" t="s">
        <v>58</v>
      </c>
      <c r="E20" s="38">
        <v>1.0</v>
      </c>
      <c r="F20" s="28" t="s">
        <v>58</v>
      </c>
      <c r="G20" s="28" t="s">
        <v>30</v>
      </c>
      <c r="H20" s="28" t="s">
        <v>31</v>
      </c>
      <c r="I20" s="39" t="s">
        <v>34</v>
      </c>
      <c r="J20" s="30">
        <v>3.0</v>
      </c>
      <c r="K20" s="30">
        <v>0.0</v>
      </c>
      <c r="L20" s="32">
        <v>0.0</v>
      </c>
      <c r="M20" s="32">
        <v>0.0</v>
      </c>
      <c r="N20" s="32" t="s">
        <v>54</v>
      </c>
      <c r="O20" s="33" t="s">
        <v>55</v>
      </c>
      <c r="P20" s="33" t="s">
        <v>55</v>
      </c>
      <c r="Q20" s="32"/>
      <c r="R20" s="34" t="s">
        <v>33</v>
      </c>
      <c r="S20" s="34" t="s">
        <v>33</v>
      </c>
    </row>
    <row r="21" ht="22.5" customHeight="1">
      <c r="A21" s="16"/>
      <c r="B21" s="22" t="s">
        <v>45</v>
      </c>
      <c r="C21" s="37" t="s">
        <v>79</v>
      </c>
      <c r="D21" s="28" t="s">
        <v>58</v>
      </c>
      <c r="E21" s="38">
        <v>2.0</v>
      </c>
      <c r="F21" s="28" t="s">
        <v>82</v>
      </c>
      <c r="G21" s="28" t="s">
        <v>30</v>
      </c>
      <c r="H21" s="28" t="s">
        <v>31</v>
      </c>
      <c r="I21" s="39" t="s">
        <v>36</v>
      </c>
      <c r="J21" s="30">
        <v>1.0</v>
      </c>
      <c r="K21" s="30">
        <v>180.0</v>
      </c>
      <c r="L21" s="32">
        <v>0.0</v>
      </c>
      <c r="M21" s="32">
        <v>1.0</v>
      </c>
      <c r="N21" s="32" t="s">
        <v>60</v>
      </c>
      <c r="O21" s="33" t="s">
        <v>55</v>
      </c>
      <c r="P21" s="33" t="s">
        <v>55</v>
      </c>
      <c r="Q21" s="32"/>
      <c r="R21" s="34" t="s">
        <v>33</v>
      </c>
      <c r="S21" s="34" t="s">
        <v>33</v>
      </c>
    </row>
    <row r="22" ht="22.5" customHeight="1">
      <c r="A22" s="16"/>
      <c r="B22" s="22" t="s">
        <v>45</v>
      </c>
      <c r="C22" s="37" t="s">
        <v>79</v>
      </c>
      <c r="D22" s="28" t="s">
        <v>58</v>
      </c>
      <c r="E22" s="38">
        <v>3.0</v>
      </c>
      <c r="F22" s="28" t="s">
        <v>83</v>
      </c>
      <c r="G22" s="28" t="s">
        <v>30</v>
      </c>
      <c r="H22" s="28" t="s">
        <v>31</v>
      </c>
      <c r="I22" s="39" t="s">
        <v>53</v>
      </c>
      <c r="J22" s="30">
        <v>1.0</v>
      </c>
      <c r="K22" s="30">
        <v>0.0</v>
      </c>
      <c r="L22" s="32">
        <v>180.0</v>
      </c>
      <c r="M22" s="32">
        <v>1.0</v>
      </c>
      <c r="N22" s="32" t="s">
        <v>54</v>
      </c>
      <c r="O22" s="33" t="s">
        <v>55</v>
      </c>
      <c r="P22" s="33" t="s">
        <v>40</v>
      </c>
      <c r="Q22" s="32"/>
      <c r="R22" s="34" t="s">
        <v>33</v>
      </c>
      <c r="S22" s="34" t="s">
        <v>33</v>
      </c>
    </row>
    <row r="23" ht="22.5" customHeight="1">
      <c r="A23" s="16"/>
      <c r="B23" s="22" t="s">
        <v>45</v>
      </c>
      <c r="C23" s="37" t="s">
        <v>79</v>
      </c>
      <c r="D23" s="28" t="s">
        <v>58</v>
      </c>
      <c r="E23" s="38">
        <v>4.0</v>
      </c>
      <c r="F23" s="28" t="s">
        <v>78</v>
      </c>
      <c r="G23" s="28" t="s">
        <v>30</v>
      </c>
      <c r="H23" s="28" t="s">
        <v>31</v>
      </c>
      <c r="I23" s="39" t="s">
        <v>38</v>
      </c>
      <c r="J23" s="30">
        <v>1.0</v>
      </c>
      <c r="K23" s="30">
        <v>0.0</v>
      </c>
      <c r="L23" s="32">
        <v>50.0</v>
      </c>
      <c r="M23" s="32"/>
      <c r="N23" s="32" t="s">
        <v>54</v>
      </c>
      <c r="O23" s="33" t="s">
        <v>55</v>
      </c>
      <c r="P23" s="33" t="s">
        <v>55</v>
      </c>
      <c r="Q23" s="32"/>
      <c r="R23" s="34" t="s">
        <v>58</v>
      </c>
      <c r="S23" s="34" t="s">
        <v>33</v>
      </c>
    </row>
  </sheetData>
  <customSheetViews>
    <customSheetView guid="{49FF6D53-992D-4646-A2FC-08831FD96999}" filter="1" showAutoFilter="1">
      <autoFilter ref="$B$8:$S$23"/>
    </customSheetView>
  </customSheetViews>
  <mergeCells count="7">
    <mergeCell ref="B1:C1"/>
    <mergeCell ref="B2:C2"/>
    <mergeCell ref="F2:G5"/>
    <mergeCell ref="B4:C4"/>
    <mergeCell ref="B5:C5"/>
    <mergeCell ref="B6:C6"/>
    <mergeCell ref="F7:H7"/>
  </mergeCells>
  <dataValidations>
    <dataValidation type="list" allowBlank="1" sqref="I9:I23">
      <formula1>"Vídeo aula (roteiro,Slide,Plano de Aula,Fórum,PDF (avulso),Tela Interativa,Quiz,Ebook"</formula1>
    </dataValidation>
    <dataValidation type="custom" allowBlank="1" showDropDown="1" sqref="E9:E23 J9:K23">
      <formula1>AND(ISNUMBER(E9),(NOT(OR(NOT(ISERROR(DATEVALUE(E9))), AND(ISNUMBER(E9), LEFT(CELL("format", E9))="D")))))</formula1>
    </dataValidation>
    <dataValidation type="list" allowBlank="1" sqref="O9:P23">
      <formula1>"Não prevista,Quiz,Atividade Aberta,Genially,Portfólio (várias atividades),Idem"</formula1>
    </dataValidation>
    <dataValidation allowBlank="1" showDropDown="1" sqref="B9:B23 D9:D23 F9:H23"/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2.63" defaultRowHeight="15.75"/>
  <cols>
    <col customWidth="1" min="1" max="1" width="11.75"/>
    <col customWidth="1" min="2" max="2" width="17.25"/>
    <col customWidth="1" min="3" max="3" width="33.75"/>
    <col customWidth="1" min="4" max="4" width="41.63"/>
    <col customWidth="1" min="5" max="5" width="16.5"/>
    <col customWidth="1" min="6" max="6" width="40.88"/>
    <col customWidth="1" min="7" max="7" width="22.13"/>
    <col customWidth="1" min="8" max="8" width="42.38"/>
    <col customWidth="1" min="9" max="9" width="24.88"/>
    <col customWidth="1" min="10" max="11" width="37.63"/>
    <col customWidth="1" min="12" max="12" width="29.0"/>
    <col customWidth="1" min="13" max="13" width="30.25"/>
    <col customWidth="1" min="14" max="14" width="25.88"/>
    <col customWidth="1" min="15" max="16" width="26.5"/>
    <col customWidth="1" min="17" max="17" width="24.25"/>
    <col customWidth="1" min="18" max="18" width="28.38"/>
    <col customWidth="1" min="19" max="19" width="46.13"/>
  </cols>
  <sheetData>
    <row r="1">
      <c r="A1" s="1"/>
      <c r="B1" s="2"/>
      <c r="C1" s="3"/>
      <c r="D1" s="4"/>
      <c r="E1" s="4"/>
      <c r="F1" s="4"/>
      <c r="G1" s="5"/>
      <c r="H1" s="4"/>
      <c r="I1" s="4"/>
      <c r="J1" s="4"/>
      <c r="K1" s="4"/>
      <c r="L1" s="5"/>
      <c r="M1" s="6"/>
      <c r="N1" s="6"/>
      <c r="O1" s="6"/>
      <c r="P1" s="6"/>
      <c r="Q1" s="6"/>
      <c r="R1" s="5"/>
      <c r="S1" s="5"/>
    </row>
    <row r="2" ht="21.75" customHeight="1">
      <c r="B2" s="7" t="s">
        <v>0</v>
      </c>
      <c r="C2" s="3"/>
      <c r="D2" s="8" t="s">
        <v>1</v>
      </c>
      <c r="E2" s="9">
        <f>(SUM(K:K)/60/24)</f>
        <v>0.5</v>
      </c>
      <c r="F2" s="10" t="s">
        <v>84</v>
      </c>
      <c r="H2" s="4"/>
      <c r="I2" s="5"/>
      <c r="J2" s="6"/>
      <c r="K2" s="6"/>
      <c r="L2" s="6"/>
      <c r="M2" s="6"/>
      <c r="N2" s="6"/>
      <c r="O2" s="5"/>
      <c r="P2" s="5"/>
    </row>
    <row r="3">
      <c r="A3" s="4"/>
      <c r="B3" s="4"/>
      <c r="C3" s="4"/>
      <c r="D3" s="11" t="s">
        <v>3</v>
      </c>
      <c r="E3" s="9">
        <f>(SUM(L:L)/60/24)</f>
        <v>1.309027778</v>
      </c>
      <c r="H3" s="4"/>
      <c r="I3" s="4"/>
      <c r="J3" s="4"/>
      <c r="K3" s="4"/>
      <c r="L3" s="5"/>
      <c r="M3" s="6"/>
      <c r="N3" s="6"/>
      <c r="O3" s="6"/>
      <c r="P3" s="6"/>
      <c r="Q3" s="6"/>
      <c r="R3" s="5"/>
      <c r="S3" s="5"/>
    </row>
    <row r="4" ht="18.75" customHeight="1">
      <c r="A4" s="1"/>
      <c r="B4" s="12" t="s">
        <v>4</v>
      </c>
      <c r="C4" s="13"/>
      <c r="D4" s="14" t="s">
        <v>5</v>
      </c>
      <c r="E4" s="9">
        <f>(SUM(Q:Q)/60/24)</f>
        <v>0</v>
      </c>
      <c r="H4" s="4"/>
      <c r="I4" s="4"/>
      <c r="J4" s="4"/>
      <c r="K4" s="4"/>
      <c r="L4" s="5"/>
      <c r="M4" s="6"/>
      <c r="N4" s="6"/>
      <c r="O4" s="6"/>
      <c r="P4" s="6"/>
      <c r="Q4" s="6"/>
      <c r="R4" s="5"/>
      <c r="S4" s="5"/>
    </row>
    <row r="5">
      <c r="A5" s="1"/>
      <c r="B5" s="12" t="s">
        <v>6</v>
      </c>
      <c r="C5" s="13"/>
      <c r="D5" s="11" t="s">
        <v>7</v>
      </c>
      <c r="E5" s="15">
        <f>SUM(E2:E4)</f>
        <v>1.809027778</v>
      </c>
      <c r="H5" s="4"/>
      <c r="I5" s="4"/>
      <c r="J5" s="4"/>
      <c r="K5" s="4"/>
      <c r="L5" s="5"/>
      <c r="M5" s="6"/>
      <c r="N5" s="6"/>
      <c r="O5" s="6"/>
      <c r="P5" s="6"/>
      <c r="Q5" s="6"/>
      <c r="R5" s="5"/>
      <c r="S5" s="5"/>
    </row>
    <row r="6">
      <c r="A6" s="1"/>
      <c r="B6" s="2"/>
      <c r="C6" s="3"/>
      <c r="D6" s="4"/>
      <c r="E6" s="4"/>
      <c r="F6" s="4"/>
      <c r="G6" s="5"/>
      <c r="H6" s="4"/>
      <c r="I6" s="4"/>
      <c r="J6" s="4"/>
      <c r="K6" s="4"/>
      <c r="L6" s="5"/>
      <c r="M6" s="6"/>
      <c r="N6" s="6"/>
      <c r="O6" s="6"/>
      <c r="P6" s="6"/>
      <c r="Q6" s="6"/>
      <c r="R6" s="5"/>
      <c r="S6" s="5"/>
    </row>
    <row r="7" ht="26.25" customHeight="1">
      <c r="A7" s="16"/>
      <c r="B7" s="16"/>
      <c r="C7" s="4"/>
      <c r="D7" s="4"/>
      <c r="E7" s="4"/>
      <c r="F7" s="17"/>
      <c r="G7" s="18"/>
      <c r="H7" s="13"/>
      <c r="I7" s="4"/>
      <c r="J7" s="4"/>
      <c r="K7" s="4"/>
      <c r="L7" s="5"/>
      <c r="M7" s="6"/>
      <c r="N7" s="6"/>
      <c r="O7" s="6"/>
      <c r="P7" s="6"/>
      <c r="Q7" s="6"/>
      <c r="R7" s="5"/>
      <c r="S7" s="5"/>
    </row>
    <row r="8" ht="22.5" customHeight="1">
      <c r="A8" s="16"/>
      <c r="B8" s="19" t="s">
        <v>8</v>
      </c>
      <c r="C8" s="19" t="s">
        <v>9</v>
      </c>
      <c r="D8" s="19" t="s">
        <v>10</v>
      </c>
      <c r="E8" s="19" t="s">
        <v>11</v>
      </c>
      <c r="F8" s="19" t="s">
        <v>12</v>
      </c>
      <c r="G8" s="19" t="s">
        <v>13</v>
      </c>
      <c r="H8" s="19" t="s">
        <v>14</v>
      </c>
      <c r="I8" s="20" t="s">
        <v>15</v>
      </c>
      <c r="J8" s="21" t="s">
        <v>16</v>
      </c>
      <c r="K8" s="21" t="s">
        <v>17</v>
      </c>
      <c r="L8" s="21" t="s">
        <v>18</v>
      </c>
      <c r="M8" s="21" t="s">
        <v>19</v>
      </c>
      <c r="N8" s="21" t="s">
        <v>20</v>
      </c>
      <c r="O8" s="20" t="s">
        <v>21</v>
      </c>
      <c r="P8" s="20" t="s">
        <v>22</v>
      </c>
      <c r="Q8" s="21" t="s">
        <v>23</v>
      </c>
      <c r="R8" s="20" t="s">
        <v>24</v>
      </c>
      <c r="S8" s="20" t="s">
        <v>25</v>
      </c>
    </row>
    <row r="9" ht="22.5" customHeight="1">
      <c r="A9" s="16"/>
      <c r="B9" s="22" t="s">
        <v>26</v>
      </c>
      <c r="C9" s="37" t="s">
        <v>85</v>
      </c>
      <c r="D9" s="28" t="s">
        <v>86</v>
      </c>
      <c r="E9" s="38">
        <v>1.0</v>
      </c>
      <c r="F9" s="28" t="s">
        <v>87</v>
      </c>
      <c r="G9" s="28" t="s">
        <v>30</v>
      </c>
      <c r="H9" s="28" t="s">
        <v>31</v>
      </c>
      <c r="I9" s="39" t="s">
        <v>53</v>
      </c>
      <c r="J9" s="30">
        <v>3.0</v>
      </c>
      <c r="K9" s="30">
        <v>0.0</v>
      </c>
      <c r="L9" s="32">
        <v>240.0</v>
      </c>
      <c r="M9" s="32">
        <v>2.0</v>
      </c>
      <c r="N9" s="32" t="s">
        <v>54</v>
      </c>
      <c r="O9" s="33" t="s">
        <v>55</v>
      </c>
      <c r="P9" s="33" t="s">
        <v>35</v>
      </c>
      <c r="Q9" s="32"/>
      <c r="R9" s="34" t="s">
        <v>75</v>
      </c>
      <c r="S9" s="34" t="s">
        <v>57</v>
      </c>
    </row>
    <row r="10" ht="22.5" customHeight="1">
      <c r="A10" s="16"/>
      <c r="B10" s="22" t="s">
        <v>26</v>
      </c>
      <c r="C10" s="37" t="s">
        <v>85</v>
      </c>
      <c r="D10" s="28" t="s">
        <v>58</v>
      </c>
      <c r="E10" s="38">
        <v>1.0</v>
      </c>
      <c r="F10" s="28" t="s">
        <v>58</v>
      </c>
      <c r="G10" s="28" t="s">
        <v>30</v>
      </c>
      <c r="H10" s="28" t="s">
        <v>31</v>
      </c>
      <c r="I10" s="39" t="s">
        <v>34</v>
      </c>
      <c r="J10" s="30">
        <v>3.0</v>
      </c>
      <c r="K10" s="30">
        <v>0.0</v>
      </c>
      <c r="L10" s="32">
        <v>0.0</v>
      </c>
      <c r="M10" s="32">
        <v>0.0</v>
      </c>
      <c r="N10" s="32" t="s">
        <v>54</v>
      </c>
      <c r="O10" s="33" t="s">
        <v>55</v>
      </c>
      <c r="P10" s="33" t="s">
        <v>55</v>
      </c>
      <c r="Q10" s="32"/>
      <c r="R10" s="34" t="s">
        <v>33</v>
      </c>
      <c r="S10" s="34" t="s">
        <v>33</v>
      </c>
    </row>
    <row r="11" ht="22.5" customHeight="1">
      <c r="A11" s="16"/>
      <c r="B11" s="22" t="s">
        <v>26</v>
      </c>
      <c r="C11" s="37" t="s">
        <v>85</v>
      </c>
      <c r="D11" s="28" t="s">
        <v>58</v>
      </c>
      <c r="E11" s="38">
        <v>2.0</v>
      </c>
      <c r="F11" s="28" t="s">
        <v>58</v>
      </c>
      <c r="G11" s="28" t="s">
        <v>30</v>
      </c>
      <c r="H11" s="28" t="s">
        <v>31</v>
      </c>
      <c r="I11" s="39" t="s">
        <v>36</v>
      </c>
      <c r="J11" s="30">
        <v>1.0</v>
      </c>
      <c r="K11" s="30">
        <v>180.0</v>
      </c>
      <c r="L11" s="32">
        <v>0.0</v>
      </c>
      <c r="M11" s="32">
        <v>1.0</v>
      </c>
      <c r="N11" s="32" t="s">
        <v>60</v>
      </c>
      <c r="O11" s="33" t="s">
        <v>55</v>
      </c>
      <c r="P11" s="33" t="s">
        <v>55</v>
      </c>
      <c r="Q11" s="32"/>
      <c r="R11" s="34" t="s">
        <v>33</v>
      </c>
      <c r="S11" s="34" t="s">
        <v>33</v>
      </c>
    </row>
    <row r="12" ht="22.5" customHeight="1">
      <c r="A12" s="16"/>
      <c r="B12" s="22" t="s">
        <v>26</v>
      </c>
      <c r="C12" s="37" t="s">
        <v>85</v>
      </c>
      <c r="D12" s="28" t="s">
        <v>58</v>
      </c>
      <c r="E12" s="38">
        <v>3.0</v>
      </c>
      <c r="F12" s="28" t="s">
        <v>88</v>
      </c>
      <c r="G12" s="28" t="s">
        <v>30</v>
      </c>
      <c r="H12" s="28" t="s">
        <v>31</v>
      </c>
      <c r="I12" s="39" t="s">
        <v>53</v>
      </c>
      <c r="J12" s="30">
        <v>1.0</v>
      </c>
      <c r="K12" s="30"/>
      <c r="L12" s="32">
        <v>180.0</v>
      </c>
      <c r="M12" s="32">
        <v>1.0</v>
      </c>
      <c r="N12" s="32" t="s">
        <v>54</v>
      </c>
      <c r="O12" s="33" t="s">
        <v>55</v>
      </c>
      <c r="P12" s="33" t="s">
        <v>40</v>
      </c>
      <c r="Q12" s="32"/>
      <c r="R12" s="34" t="s">
        <v>33</v>
      </c>
      <c r="S12" s="34" t="s">
        <v>33</v>
      </c>
    </row>
    <row r="13" ht="22.5" customHeight="1">
      <c r="A13" s="16"/>
      <c r="B13" s="22" t="s">
        <v>26</v>
      </c>
      <c r="C13" s="37" t="s">
        <v>85</v>
      </c>
      <c r="D13" s="28" t="s">
        <v>58</v>
      </c>
      <c r="E13" s="38">
        <v>4.0</v>
      </c>
      <c r="F13" s="28" t="s">
        <v>78</v>
      </c>
      <c r="G13" s="28" t="s">
        <v>30</v>
      </c>
      <c r="H13" s="28" t="s">
        <v>31</v>
      </c>
      <c r="I13" s="39" t="s">
        <v>38</v>
      </c>
      <c r="J13" s="30">
        <v>1.0</v>
      </c>
      <c r="K13" s="30">
        <v>0.0</v>
      </c>
      <c r="L13" s="32">
        <v>35.0</v>
      </c>
      <c r="M13" s="32"/>
      <c r="N13" s="32" t="s">
        <v>54</v>
      </c>
      <c r="O13" s="33" t="s">
        <v>55</v>
      </c>
      <c r="P13" s="33" t="s">
        <v>55</v>
      </c>
      <c r="Q13" s="32"/>
      <c r="R13" s="34" t="s">
        <v>58</v>
      </c>
      <c r="S13" s="34" t="s">
        <v>33</v>
      </c>
    </row>
    <row r="14" ht="22.5" customHeight="1">
      <c r="A14" s="16"/>
      <c r="B14" s="22" t="s">
        <v>41</v>
      </c>
      <c r="C14" s="37" t="s">
        <v>89</v>
      </c>
      <c r="D14" s="28" t="s">
        <v>90</v>
      </c>
      <c r="E14" s="38">
        <v>1.0</v>
      </c>
      <c r="F14" s="28" t="s">
        <v>91</v>
      </c>
      <c r="G14" s="28" t="s">
        <v>30</v>
      </c>
      <c r="H14" s="28" t="s">
        <v>31</v>
      </c>
      <c r="I14" s="39" t="s">
        <v>53</v>
      </c>
      <c r="J14" s="30">
        <v>3.0</v>
      </c>
      <c r="K14" s="30">
        <v>0.0</v>
      </c>
      <c r="L14" s="32">
        <v>300.0</v>
      </c>
      <c r="M14" s="32">
        <v>3.0</v>
      </c>
      <c r="N14" s="32" t="s">
        <v>54</v>
      </c>
      <c r="O14" s="33" t="s">
        <v>55</v>
      </c>
      <c r="P14" s="33" t="s">
        <v>35</v>
      </c>
      <c r="Q14" s="32"/>
      <c r="R14" s="34" t="s">
        <v>75</v>
      </c>
      <c r="S14" s="34" t="s">
        <v>57</v>
      </c>
    </row>
    <row r="15" ht="22.5" customHeight="1">
      <c r="A15" s="16"/>
      <c r="B15" s="22" t="s">
        <v>41</v>
      </c>
      <c r="C15" s="37" t="s">
        <v>89</v>
      </c>
      <c r="D15" s="28" t="s">
        <v>58</v>
      </c>
      <c r="E15" s="38">
        <v>1.0</v>
      </c>
      <c r="F15" s="28" t="s">
        <v>58</v>
      </c>
      <c r="G15" s="28" t="s">
        <v>30</v>
      </c>
      <c r="H15" s="28" t="s">
        <v>31</v>
      </c>
      <c r="I15" s="39" t="s">
        <v>34</v>
      </c>
      <c r="J15" s="30">
        <v>3.0</v>
      </c>
      <c r="K15" s="30">
        <v>0.0</v>
      </c>
      <c r="L15" s="32">
        <v>0.0</v>
      </c>
      <c r="M15" s="32">
        <v>0.0</v>
      </c>
      <c r="N15" s="32" t="s">
        <v>54</v>
      </c>
      <c r="O15" s="33" t="s">
        <v>55</v>
      </c>
      <c r="P15" s="33" t="s">
        <v>55</v>
      </c>
      <c r="Q15" s="32"/>
      <c r="R15" s="34" t="s">
        <v>33</v>
      </c>
      <c r="S15" s="34" t="s">
        <v>33</v>
      </c>
    </row>
    <row r="16" ht="22.5" customHeight="1">
      <c r="A16" s="16"/>
      <c r="B16" s="22" t="s">
        <v>41</v>
      </c>
      <c r="C16" s="37" t="s">
        <v>89</v>
      </c>
      <c r="D16" s="28" t="s">
        <v>58</v>
      </c>
      <c r="E16" s="38">
        <v>2.0</v>
      </c>
      <c r="F16" s="28" t="s">
        <v>92</v>
      </c>
      <c r="G16" s="28" t="s">
        <v>30</v>
      </c>
      <c r="H16" s="28" t="s">
        <v>31</v>
      </c>
      <c r="I16" s="39" t="s">
        <v>36</v>
      </c>
      <c r="J16" s="30">
        <v>1.0</v>
      </c>
      <c r="K16" s="30">
        <v>180.0</v>
      </c>
      <c r="L16" s="32">
        <v>0.0</v>
      </c>
      <c r="M16" s="32">
        <v>1.0</v>
      </c>
      <c r="N16" s="32" t="s">
        <v>60</v>
      </c>
      <c r="O16" s="33" t="s">
        <v>55</v>
      </c>
      <c r="P16" s="33" t="s">
        <v>55</v>
      </c>
      <c r="Q16" s="32"/>
      <c r="R16" s="34" t="s">
        <v>33</v>
      </c>
      <c r="S16" s="34" t="s">
        <v>33</v>
      </c>
    </row>
    <row r="17" ht="22.5" customHeight="1">
      <c r="A17" s="16"/>
      <c r="B17" s="22" t="s">
        <v>41</v>
      </c>
      <c r="C17" s="37" t="s">
        <v>89</v>
      </c>
      <c r="D17" s="28" t="s">
        <v>58</v>
      </c>
      <c r="E17" s="38">
        <v>3.0</v>
      </c>
      <c r="F17" s="28" t="s">
        <v>93</v>
      </c>
      <c r="G17" s="28" t="s">
        <v>30</v>
      </c>
      <c r="H17" s="28" t="s">
        <v>31</v>
      </c>
      <c r="I17" s="39" t="s">
        <v>53</v>
      </c>
      <c r="J17" s="30">
        <v>1.0</v>
      </c>
      <c r="K17" s="30">
        <v>0.0</v>
      </c>
      <c r="L17" s="32">
        <v>180.0</v>
      </c>
      <c r="M17" s="32">
        <v>1.0</v>
      </c>
      <c r="N17" s="32" t="s">
        <v>54</v>
      </c>
      <c r="O17" s="33" t="s">
        <v>55</v>
      </c>
      <c r="P17" s="33" t="s">
        <v>40</v>
      </c>
      <c r="Q17" s="32"/>
      <c r="R17" s="34" t="s">
        <v>33</v>
      </c>
      <c r="S17" s="34" t="s">
        <v>33</v>
      </c>
    </row>
    <row r="18" ht="22.5" customHeight="1">
      <c r="A18" s="16"/>
      <c r="B18" s="22" t="s">
        <v>41</v>
      </c>
      <c r="C18" s="37" t="s">
        <v>89</v>
      </c>
      <c r="D18" s="28" t="s">
        <v>58</v>
      </c>
      <c r="E18" s="38">
        <v>4.0</v>
      </c>
      <c r="F18" s="28" t="s">
        <v>78</v>
      </c>
      <c r="G18" s="28" t="s">
        <v>30</v>
      </c>
      <c r="H18" s="28" t="s">
        <v>31</v>
      </c>
      <c r="I18" s="39" t="s">
        <v>38</v>
      </c>
      <c r="J18" s="30">
        <v>1.0</v>
      </c>
      <c r="K18" s="30">
        <v>0.0</v>
      </c>
      <c r="L18" s="32">
        <v>70.0</v>
      </c>
      <c r="M18" s="32"/>
      <c r="N18" s="32" t="s">
        <v>54</v>
      </c>
      <c r="O18" s="33" t="s">
        <v>55</v>
      </c>
      <c r="P18" s="33" t="s">
        <v>55</v>
      </c>
      <c r="Q18" s="32"/>
      <c r="R18" s="34" t="s">
        <v>58</v>
      </c>
      <c r="S18" s="34" t="s">
        <v>33</v>
      </c>
    </row>
    <row r="19" ht="22.5" customHeight="1">
      <c r="A19" s="16"/>
      <c r="B19" s="22" t="s">
        <v>45</v>
      </c>
      <c r="C19" s="37" t="s">
        <v>94</v>
      </c>
      <c r="D19" s="28" t="s">
        <v>95</v>
      </c>
      <c r="E19" s="38">
        <v>1.0</v>
      </c>
      <c r="F19" s="28" t="s">
        <v>96</v>
      </c>
      <c r="G19" s="28" t="s">
        <v>30</v>
      </c>
      <c r="H19" s="28" t="s">
        <v>31</v>
      </c>
      <c r="I19" s="39" t="s">
        <v>53</v>
      </c>
      <c r="J19" s="30">
        <v>3.0</v>
      </c>
      <c r="K19" s="30">
        <v>0.0</v>
      </c>
      <c r="L19" s="32">
        <v>240.0</v>
      </c>
      <c r="M19" s="32">
        <v>3.0</v>
      </c>
      <c r="N19" s="32" t="s">
        <v>54</v>
      </c>
      <c r="O19" s="33" t="s">
        <v>55</v>
      </c>
      <c r="P19" s="33" t="s">
        <v>35</v>
      </c>
      <c r="Q19" s="32"/>
      <c r="R19" s="34" t="s">
        <v>75</v>
      </c>
      <c r="S19" s="34" t="s">
        <v>57</v>
      </c>
    </row>
    <row r="20" ht="22.5" customHeight="1">
      <c r="A20" s="16"/>
      <c r="B20" s="22" t="s">
        <v>45</v>
      </c>
      <c r="C20" s="37" t="s">
        <v>94</v>
      </c>
      <c r="D20" s="28" t="s">
        <v>37</v>
      </c>
      <c r="E20" s="38">
        <v>1.0</v>
      </c>
      <c r="F20" s="28" t="s">
        <v>37</v>
      </c>
      <c r="G20" s="28" t="s">
        <v>30</v>
      </c>
      <c r="H20" s="28" t="s">
        <v>31</v>
      </c>
      <c r="I20" s="39" t="s">
        <v>34</v>
      </c>
      <c r="J20" s="30">
        <v>3.0</v>
      </c>
      <c r="K20" s="30">
        <v>0.0</v>
      </c>
      <c r="L20" s="32">
        <v>0.0</v>
      </c>
      <c r="M20" s="32">
        <v>0.0</v>
      </c>
      <c r="N20" s="32" t="s">
        <v>54</v>
      </c>
      <c r="O20" s="33" t="s">
        <v>55</v>
      </c>
      <c r="P20" s="33" t="s">
        <v>55</v>
      </c>
      <c r="Q20" s="32"/>
      <c r="R20" s="34" t="s">
        <v>75</v>
      </c>
      <c r="S20" s="34" t="s">
        <v>37</v>
      </c>
    </row>
    <row r="21" ht="22.5" customHeight="1">
      <c r="A21" s="16"/>
      <c r="B21" s="22" t="s">
        <v>45</v>
      </c>
      <c r="C21" s="37" t="s">
        <v>94</v>
      </c>
      <c r="D21" s="28" t="s">
        <v>37</v>
      </c>
      <c r="E21" s="38">
        <v>2.0</v>
      </c>
      <c r="F21" s="28" t="s">
        <v>97</v>
      </c>
      <c r="G21" s="28" t="s">
        <v>30</v>
      </c>
      <c r="H21" s="28" t="s">
        <v>31</v>
      </c>
      <c r="I21" s="39" t="s">
        <v>36</v>
      </c>
      <c r="J21" s="30">
        <v>1.0</v>
      </c>
      <c r="K21" s="30">
        <v>180.0</v>
      </c>
      <c r="L21" s="32">
        <v>0.0</v>
      </c>
      <c r="M21" s="32">
        <v>1.0</v>
      </c>
      <c r="N21" s="32" t="s">
        <v>54</v>
      </c>
      <c r="O21" s="33" t="s">
        <v>55</v>
      </c>
      <c r="P21" s="33" t="s">
        <v>55</v>
      </c>
      <c r="Q21" s="32"/>
      <c r="R21" s="34" t="s">
        <v>75</v>
      </c>
      <c r="S21" s="34" t="s">
        <v>37</v>
      </c>
    </row>
    <row r="22" ht="22.5" customHeight="1">
      <c r="A22" s="16"/>
      <c r="B22" s="22" t="s">
        <v>45</v>
      </c>
      <c r="C22" s="37" t="s">
        <v>94</v>
      </c>
      <c r="D22" s="28" t="s">
        <v>37</v>
      </c>
      <c r="E22" s="38">
        <v>3.0</v>
      </c>
      <c r="F22" s="28" t="s">
        <v>98</v>
      </c>
      <c r="G22" s="28" t="s">
        <v>30</v>
      </c>
      <c r="H22" s="28" t="s">
        <v>31</v>
      </c>
      <c r="I22" s="39" t="s">
        <v>53</v>
      </c>
      <c r="J22" s="30">
        <v>1.0</v>
      </c>
      <c r="K22" s="30"/>
      <c r="L22" s="32">
        <v>180.0</v>
      </c>
      <c r="M22" s="32">
        <v>1.0</v>
      </c>
      <c r="N22" s="32" t="s">
        <v>54</v>
      </c>
      <c r="O22" s="33" t="s">
        <v>55</v>
      </c>
      <c r="P22" s="33" t="s">
        <v>40</v>
      </c>
      <c r="Q22" s="32"/>
      <c r="R22" s="34" t="s">
        <v>75</v>
      </c>
      <c r="S22" s="34" t="s">
        <v>37</v>
      </c>
    </row>
    <row r="23" ht="22.5" customHeight="1">
      <c r="A23" s="16"/>
      <c r="B23" s="22" t="s">
        <v>45</v>
      </c>
      <c r="C23" s="37" t="s">
        <v>94</v>
      </c>
      <c r="D23" s="28" t="s">
        <v>58</v>
      </c>
      <c r="E23" s="38">
        <v>4.0</v>
      </c>
      <c r="F23" s="28" t="s">
        <v>78</v>
      </c>
      <c r="G23" s="28" t="s">
        <v>30</v>
      </c>
      <c r="H23" s="28" t="s">
        <v>31</v>
      </c>
      <c r="I23" s="39" t="s">
        <v>38</v>
      </c>
      <c r="J23" s="30">
        <v>1.0</v>
      </c>
      <c r="K23" s="30">
        <v>0.0</v>
      </c>
      <c r="L23" s="32">
        <v>35.0</v>
      </c>
      <c r="M23" s="32"/>
      <c r="N23" s="32" t="s">
        <v>54</v>
      </c>
      <c r="O23" s="33" t="s">
        <v>55</v>
      </c>
      <c r="P23" s="33" t="s">
        <v>55</v>
      </c>
      <c r="Q23" s="32"/>
      <c r="R23" s="34" t="s">
        <v>58</v>
      </c>
      <c r="S23" s="34" t="s">
        <v>33</v>
      </c>
    </row>
    <row r="24" ht="22.5" customHeight="1">
      <c r="A24" s="16"/>
      <c r="B24" s="22" t="s">
        <v>99</v>
      </c>
      <c r="C24" s="37" t="s">
        <v>100</v>
      </c>
      <c r="D24" s="28" t="s">
        <v>101</v>
      </c>
      <c r="E24" s="38">
        <v>1.0</v>
      </c>
      <c r="F24" s="28" t="s">
        <v>102</v>
      </c>
      <c r="G24" s="28" t="s">
        <v>30</v>
      </c>
      <c r="H24" s="28" t="s">
        <v>31</v>
      </c>
      <c r="I24" s="39" t="s">
        <v>53</v>
      </c>
      <c r="J24" s="30">
        <v>2.0</v>
      </c>
      <c r="K24" s="30">
        <v>0.0</v>
      </c>
      <c r="L24" s="32">
        <v>200.0</v>
      </c>
      <c r="M24" s="32">
        <v>3.0</v>
      </c>
      <c r="N24" s="32" t="s">
        <v>54</v>
      </c>
      <c r="O24" s="33" t="s">
        <v>55</v>
      </c>
      <c r="P24" s="33" t="s">
        <v>35</v>
      </c>
      <c r="Q24" s="32"/>
      <c r="R24" s="34" t="s">
        <v>75</v>
      </c>
      <c r="S24" s="34" t="s">
        <v>57</v>
      </c>
    </row>
    <row r="25" ht="22.5" customHeight="1">
      <c r="A25" s="16"/>
      <c r="B25" s="22" t="s">
        <v>99</v>
      </c>
      <c r="C25" s="37" t="s">
        <v>100</v>
      </c>
      <c r="D25" s="28" t="s">
        <v>37</v>
      </c>
      <c r="E25" s="38">
        <v>1.0</v>
      </c>
      <c r="F25" s="28" t="s">
        <v>37</v>
      </c>
      <c r="G25" s="28" t="s">
        <v>30</v>
      </c>
      <c r="H25" s="28" t="s">
        <v>31</v>
      </c>
      <c r="I25" s="39" t="s">
        <v>34</v>
      </c>
      <c r="J25" s="30">
        <v>2.0</v>
      </c>
      <c r="K25" s="30">
        <v>0.0</v>
      </c>
      <c r="L25" s="32">
        <v>0.0</v>
      </c>
      <c r="M25" s="32">
        <v>0.0</v>
      </c>
      <c r="N25" s="32" t="s">
        <v>54</v>
      </c>
      <c r="O25" s="33" t="s">
        <v>55</v>
      </c>
      <c r="P25" s="33" t="s">
        <v>55</v>
      </c>
      <c r="Q25" s="32"/>
      <c r="R25" s="34" t="s">
        <v>75</v>
      </c>
      <c r="S25" s="34" t="s">
        <v>37</v>
      </c>
    </row>
    <row r="26" ht="22.5" customHeight="1">
      <c r="A26" s="16"/>
      <c r="B26" s="22" t="s">
        <v>99</v>
      </c>
      <c r="C26" s="37" t="s">
        <v>100</v>
      </c>
      <c r="D26" s="28" t="s">
        <v>37</v>
      </c>
      <c r="E26" s="38">
        <v>2.0</v>
      </c>
      <c r="F26" s="28" t="s">
        <v>103</v>
      </c>
      <c r="G26" s="28" t="s">
        <v>30</v>
      </c>
      <c r="H26" s="28" t="s">
        <v>31</v>
      </c>
      <c r="I26" s="39" t="s">
        <v>36</v>
      </c>
      <c r="J26" s="30">
        <v>1.0</v>
      </c>
      <c r="K26" s="30">
        <v>180.0</v>
      </c>
      <c r="L26" s="32">
        <v>0.0</v>
      </c>
      <c r="M26" s="32">
        <v>1.0</v>
      </c>
      <c r="N26" s="32" t="s">
        <v>60</v>
      </c>
      <c r="O26" s="33" t="s">
        <v>55</v>
      </c>
      <c r="P26" s="33" t="s">
        <v>55</v>
      </c>
      <c r="Q26" s="32"/>
      <c r="R26" s="34" t="s">
        <v>75</v>
      </c>
      <c r="S26" s="34" t="s">
        <v>37</v>
      </c>
    </row>
    <row r="27" ht="22.5" customHeight="1">
      <c r="A27" s="16"/>
      <c r="B27" s="22" t="s">
        <v>99</v>
      </c>
      <c r="C27" s="37" t="s">
        <v>100</v>
      </c>
      <c r="D27" s="28" t="s">
        <v>37</v>
      </c>
      <c r="E27" s="38">
        <v>3.0</v>
      </c>
      <c r="F27" s="28" t="s">
        <v>104</v>
      </c>
      <c r="G27" s="28" t="s">
        <v>30</v>
      </c>
      <c r="H27" s="28" t="s">
        <v>31</v>
      </c>
      <c r="I27" s="39" t="s">
        <v>53</v>
      </c>
      <c r="J27" s="30">
        <v>1.0</v>
      </c>
      <c r="K27" s="30">
        <v>0.0</v>
      </c>
      <c r="L27" s="32">
        <v>180.0</v>
      </c>
      <c r="M27" s="32">
        <v>0.0</v>
      </c>
      <c r="N27" s="32" t="s">
        <v>54</v>
      </c>
      <c r="O27" s="33" t="s">
        <v>55</v>
      </c>
      <c r="P27" s="33" t="s">
        <v>40</v>
      </c>
      <c r="Q27" s="32"/>
      <c r="R27" s="34" t="s">
        <v>75</v>
      </c>
      <c r="S27" s="34" t="s">
        <v>37</v>
      </c>
    </row>
    <row r="28" ht="22.5" customHeight="1">
      <c r="A28" s="16"/>
      <c r="B28" s="22" t="s">
        <v>99</v>
      </c>
      <c r="C28" s="37" t="s">
        <v>100</v>
      </c>
      <c r="D28" s="28" t="s">
        <v>58</v>
      </c>
      <c r="E28" s="38">
        <v>4.0</v>
      </c>
      <c r="F28" s="28" t="s">
        <v>78</v>
      </c>
      <c r="G28" s="28" t="s">
        <v>30</v>
      </c>
      <c r="H28" s="28" t="s">
        <v>31</v>
      </c>
      <c r="I28" s="39" t="s">
        <v>38</v>
      </c>
      <c r="J28" s="30">
        <v>1.0</v>
      </c>
      <c r="K28" s="30">
        <v>0.0</v>
      </c>
      <c r="L28" s="32">
        <v>45.0</v>
      </c>
      <c r="M28" s="32"/>
      <c r="N28" s="32" t="s">
        <v>54</v>
      </c>
      <c r="O28" s="33" t="s">
        <v>55</v>
      </c>
      <c r="P28" s="33" t="s">
        <v>55</v>
      </c>
      <c r="Q28" s="32"/>
      <c r="R28" s="34" t="s">
        <v>58</v>
      </c>
      <c r="S28" s="34" t="s">
        <v>33</v>
      </c>
    </row>
  </sheetData>
  <customSheetViews>
    <customSheetView guid="{49FF6D53-992D-4646-A2FC-08831FD96999}" filter="1" showAutoFilter="1">
      <autoFilter ref="$B$8:$S$28"/>
    </customSheetView>
  </customSheetViews>
  <mergeCells count="7">
    <mergeCell ref="B1:C1"/>
    <mergeCell ref="B2:C2"/>
    <mergeCell ref="F2:G5"/>
    <mergeCell ref="B4:C4"/>
    <mergeCell ref="B5:C5"/>
    <mergeCell ref="B6:C6"/>
    <mergeCell ref="F7:H7"/>
  </mergeCells>
  <dataValidations>
    <dataValidation type="list" allowBlank="1" sqref="I9:I28">
      <formula1>"Vídeo aula (roteiro,Slide,Plano de Aula,Fórum,PDF (avulso),Tela Interativa,Quiz,Ebook"</formula1>
    </dataValidation>
    <dataValidation type="custom" allowBlank="1" showDropDown="1" sqref="E9:E28 J9:K28">
      <formula1>AND(ISNUMBER(E9),(NOT(OR(NOT(ISERROR(DATEVALUE(E9))), AND(ISNUMBER(E9), LEFT(CELL("format", E9))="D")))))</formula1>
    </dataValidation>
    <dataValidation type="list" allowBlank="1" sqref="O9:P28">
      <formula1>"Não prevista,Quiz,Atividade Aberta,Genially,Portfólio (várias atividades),Idem"</formula1>
    </dataValidation>
    <dataValidation allowBlank="1" showDropDown="1" sqref="B9:B28 D9:D28 F9:H28"/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2.63" defaultRowHeight="15.75"/>
  <cols>
    <col customWidth="1" min="1" max="1" width="11.75"/>
    <col customWidth="1" min="2" max="2" width="17.25"/>
    <col customWidth="1" min="3" max="3" width="33.75"/>
    <col customWidth="1" min="4" max="4" width="41.63"/>
    <col customWidth="1" min="5" max="5" width="16.5"/>
    <col customWidth="1" min="6" max="6" width="40.88"/>
    <col customWidth="1" min="7" max="7" width="22.13"/>
    <col customWidth="1" min="8" max="8" width="42.38"/>
    <col customWidth="1" min="9" max="9" width="24.88"/>
    <col customWidth="1" min="10" max="11" width="37.63"/>
    <col customWidth="1" min="12" max="12" width="29.0"/>
    <col customWidth="1" min="13" max="13" width="30.25"/>
    <col customWidth="1" min="14" max="14" width="25.88"/>
    <col customWidth="1" min="15" max="16" width="26.5"/>
    <col customWidth="1" min="17" max="17" width="24.25"/>
    <col customWidth="1" min="18" max="18" width="28.38"/>
    <col customWidth="1" min="19" max="19" width="46.13"/>
  </cols>
  <sheetData>
    <row r="1">
      <c r="A1" s="1"/>
      <c r="B1" s="2"/>
      <c r="C1" s="3"/>
      <c r="D1" s="4"/>
      <c r="E1" s="41"/>
      <c r="F1" s="4"/>
      <c r="G1" s="5"/>
      <c r="H1" s="4"/>
      <c r="I1" s="4"/>
      <c r="J1" s="41"/>
      <c r="K1" s="41"/>
      <c r="L1" s="6"/>
      <c r="M1" s="6"/>
      <c r="N1" s="6"/>
      <c r="O1" s="6"/>
      <c r="P1" s="6"/>
      <c r="Q1" s="6"/>
      <c r="R1" s="5"/>
      <c r="S1" s="5"/>
    </row>
    <row r="2" ht="21.75" customHeight="1">
      <c r="B2" s="7" t="s">
        <v>0</v>
      </c>
      <c r="C2" s="3"/>
      <c r="D2" s="8" t="s">
        <v>1</v>
      </c>
      <c r="E2" s="9">
        <f>(SUM(K:K)/60/24)</f>
        <v>0.375</v>
      </c>
      <c r="F2" s="10" t="s">
        <v>105</v>
      </c>
      <c r="H2" s="4"/>
      <c r="I2" s="5"/>
      <c r="J2" s="6"/>
      <c r="K2" s="6"/>
      <c r="L2" s="6"/>
      <c r="M2" s="6"/>
      <c r="N2" s="6"/>
      <c r="O2" s="5"/>
      <c r="P2" s="5"/>
    </row>
    <row r="3">
      <c r="A3" s="4"/>
      <c r="B3" s="4"/>
      <c r="C3" s="4"/>
      <c r="D3" s="11" t="s">
        <v>3</v>
      </c>
      <c r="E3" s="9">
        <f>(SUM(L:L)/60/24)</f>
        <v>0.3888888889</v>
      </c>
      <c r="H3" s="4"/>
      <c r="I3" s="4"/>
      <c r="J3" s="41"/>
      <c r="K3" s="41"/>
      <c r="L3" s="6"/>
      <c r="M3" s="6"/>
      <c r="N3" s="6"/>
      <c r="O3" s="6"/>
      <c r="P3" s="6"/>
      <c r="Q3" s="6"/>
      <c r="R3" s="5"/>
      <c r="S3" s="5"/>
    </row>
    <row r="4" ht="18.75" customHeight="1">
      <c r="A4" s="1"/>
      <c r="B4" s="12" t="s">
        <v>4</v>
      </c>
      <c r="C4" s="13"/>
      <c r="D4" s="14" t="s">
        <v>5</v>
      </c>
      <c r="E4" s="9">
        <f>(SUM(Q:Q)/60/24)</f>
        <v>0</v>
      </c>
      <c r="H4" s="4"/>
      <c r="I4" s="4"/>
      <c r="J4" s="41"/>
      <c r="K4" s="41"/>
      <c r="L4" s="6"/>
      <c r="M4" s="6"/>
      <c r="N4" s="6"/>
      <c r="O4" s="6"/>
      <c r="P4" s="6"/>
      <c r="Q4" s="6"/>
      <c r="R4" s="5"/>
      <c r="S4" s="5"/>
    </row>
    <row r="5">
      <c r="A5" s="1"/>
      <c r="B5" s="12" t="s">
        <v>6</v>
      </c>
      <c r="C5" s="13"/>
      <c r="D5" s="11" t="s">
        <v>7</v>
      </c>
      <c r="E5" s="15">
        <f>SUM(E2:E4)</f>
        <v>0.7638888889</v>
      </c>
      <c r="H5" s="4"/>
      <c r="I5" s="4"/>
      <c r="J5" s="41"/>
      <c r="K5" s="41"/>
      <c r="L5" s="6"/>
      <c r="M5" s="6"/>
      <c r="N5" s="6"/>
      <c r="O5" s="6"/>
      <c r="P5" s="6"/>
      <c r="Q5" s="6"/>
      <c r="R5" s="5"/>
      <c r="S5" s="5"/>
    </row>
    <row r="6">
      <c r="A6" s="1"/>
      <c r="B6" s="2"/>
      <c r="C6" s="3"/>
      <c r="D6" s="4"/>
      <c r="E6" s="41"/>
      <c r="F6" s="4"/>
      <c r="G6" s="5"/>
      <c r="H6" s="4"/>
      <c r="I6" s="4"/>
      <c r="J6" s="41"/>
      <c r="K6" s="41"/>
      <c r="L6" s="6"/>
      <c r="M6" s="6"/>
      <c r="N6" s="6"/>
      <c r="O6" s="6"/>
      <c r="P6" s="6"/>
      <c r="Q6" s="6"/>
      <c r="R6" s="5"/>
      <c r="S6" s="5"/>
    </row>
    <row r="7" ht="26.25" customHeight="1">
      <c r="A7" s="16"/>
      <c r="B7" s="16"/>
      <c r="C7" s="4"/>
      <c r="D7" s="4"/>
      <c r="E7" s="41"/>
      <c r="F7" s="17"/>
      <c r="G7" s="18"/>
      <c r="H7" s="13"/>
      <c r="I7" s="4"/>
      <c r="J7" s="41"/>
      <c r="K7" s="41"/>
      <c r="L7" s="6"/>
      <c r="M7" s="6"/>
      <c r="N7" s="6"/>
      <c r="O7" s="6"/>
      <c r="P7" s="6"/>
      <c r="Q7" s="6"/>
      <c r="R7" s="5"/>
      <c r="S7" s="5"/>
    </row>
    <row r="8" ht="22.5" customHeight="1">
      <c r="A8" s="16"/>
      <c r="B8" s="19" t="s">
        <v>8</v>
      </c>
      <c r="C8" s="19" t="s">
        <v>9</v>
      </c>
      <c r="D8" s="19" t="s">
        <v>10</v>
      </c>
      <c r="E8" s="19" t="s">
        <v>11</v>
      </c>
      <c r="F8" s="19" t="s">
        <v>12</v>
      </c>
      <c r="G8" s="19" t="s">
        <v>13</v>
      </c>
      <c r="H8" s="19" t="s">
        <v>14</v>
      </c>
      <c r="I8" s="20" t="s">
        <v>15</v>
      </c>
      <c r="J8" s="21" t="s">
        <v>16</v>
      </c>
      <c r="K8" s="21" t="s">
        <v>17</v>
      </c>
      <c r="L8" s="21" t="s">
        <v>18</v>
      </c>
      <c r="M8" s="21" t="s">
        <v>19</v>
      </c>
      <c r="N8" s="21" t="s">
        <v>20</v>
      </c>
      <c r="O8" s="20" t="s">
        <v>21</v>
      </c>
      <c r="P8" s="20" t="s">
        <v>22</v>
      </c>
      <c r="Q8" s="21" t="s">
        <v>23</v>
      </c>
      <c r="R8" s="20" t="s">
        <v>24</v>
      </c>
      <c r="S8" s="20" t="s">
        <v>25</v>
      </c>
    </row>
    <row r="9" ht="22.5" customHeight="1">
      <c r="A9" s="16"/>
      <c r="B9" s="22" t="s">
        <v>26</v>
      </c>
      <c r="C9" s="37" t="s">
        <v>106</v>
      </c>
      <c r="D9" s="28" t="s">
        <v>107</v>
      </c>
      <c r="E9" s="38">
        <v>1.0</v>
      </c>
      <c r="F9" s="28" t="s">
        <v>108</v>
      </c>
      <c r="G9" s="28" t="s">
        <v>30</v>
      </c>
      <c r="H9" s="28" t="s">
        <v>109</v>
      </c>
      <c r="I9" s="39" t="s">
        <v>53</v>
      </c>
      <c r="J9" s="30">
        <v>2.0</v>
      </c>
      <c r="K9" s="30">
        <v>0.0</v>
      </c>
      <c r="L9" s="31">
        <v>120.0</v>
      </c>
      <c r="M9" s="31">
        <v>2.0</v>
      </c>
      <c r="N9" s="31" t="s">
        <v>54</v>
      </c>
      <c r="O9" s="33" t="s">
        <v>35</v>
      </c>
      <c r="P9" s="33" t="s">
        <v>55</v>
      </c>
      <c r="Q9" s="32"/>
      <c r="R9" s="42" t="s">
        <v>75</v>
      </c>
      <c r="S9" s="42" t="s">
        <v>57</v>
      </c>
    </row>
    <row r="10" ht="22.5" customHeight="1">
      <c r="A10" s="16"/>
      <c r="B10" s="22" t="s">
        <v>26</v>
      </c>
      <c r="C10" s="37" t="s">
        <v>106</v>
      </c>
      <c r="D10" s="28" t="s">
        <v>58</v>
      </c>
      <c r="E10" s="38">
        <v>1.0</v>
      </c>
      <c r="F10" s="28" t="s">
        <v>108</v>
      </c>
      <c r="G10" s="28" t="s">
        <v>58</v>
      </c>
      <c r="H10" s="28" t="s">
        <v>58</v>
      </c>
      <c r="I10" s="29" t="s">
        <v>34</v>
      </c>
      <c r="J10" s="30">
        <v>2.0</v>
      </c>
      <c r="K10" s="30">
        <v>0.0</v>
      </c>
      <c r="L10" s="31">
        <v>0.0</v>
      </c>
      <c r="M10" s="31">
        <v>0.0</v>
      </c>
      <c r="N10" s="31" t="s">
        <v>54</v>
      </c>
      <c r="O10" s="33" t="s">
        <v>55</v>
      </c>
      <c r="P10" s="33" t="s">
        <v>55</v>
      </c>
      <c r="Q10" s="32"/>
      <c r="R10" s="42" t="s">
        <v>58</v>
      </c>
      <c r="S10" s="42" t="s">
        <v>58</v>
      </c>
    </row>
    <row r="11" ht="22.5" customHeight="1">
      <c r="A11" s="16"/>
      <c r="B11" s="22" t="s">
        <v>26</v>
      </c>
      <c r="C11" s="37" t="s">
        <v>106</v>
      </c>
      <c r="D11" s="28" t="s">
        <v>58</v>
      </c>
      <c r="E11" s="38">
        <v>2.0</v>
      </c>
      <c r="F11" s="28" t="s">
        <v>110</v>
      </c>
      <c r="G11" s="28" t="s">
        <v>58</v>
      </c>
      <c r="H11" s="28" t="s">
        <v>58</v>
      </c>
      <c r="I11" s="29" t="s">
        <v>38</v>
      </c>
      <c r="J11" s="30">
        <v>1.0</v>
      </c>
      <c r="K11" s="30">
        <v>0.0</v>
      </c>
      <c r="L11" s="31">
        <v>0.0</v>
      </c>
      <c r="M11" s="31">
        <v>1.0</v>
      </c>
      <c r="N11" s="31" t="s">
        <v>54</v>
      </c>
      <c r="O11" s="33" t="s">
        <v>55</v>
      </c>
      <c r="P11" s="33" t="s">
        <v>55</v>
      </c>
      <c r="Q11" s="32"/>
      <c r="R11" s="42" t="s">
        <v>58</v>
      </c>
      <c r="S11" s="42" t="s">
        <v>58</v>
      </c>
    </row>
    <row r="12" ht="22.5" customHeight="1">
      <c r="A12" s="16"/>
      <c r="B12" s="22" t="s">
        <v>26</v>
      </c>
      <c r="C12" s="37" t="s">
        <v>106</v>
      </c>
      <c r="D12" s="28" t="s">
        <v>58</v>
      </c>
      <c r="E12" s="38">
        <v>3.0</v>
      </c>
      <c r="F12" s="28" t="s">
        <v>111</v>
      </c>
      <c r="G12" s="28" t="s">
        <v>58</v>
      </c>
      <c r="H12" s="28" t="s">
        <v>58</v>
      </c>
      <c r="I12" s="29" t="s">
        <v>36</v>
      </c>
      <c r="J12" s="30">
        <v>1.0</v>
      </c>
      <c r="K12" s="30">
        <v>180.0</v>
      </c>
      <c r="L12" s="31">
        <v>0.0</v>
      </c>
      <c r="M12" s="31">
        <v>1.0</v>
      </c>
      <c r="N12" s="31" t="s">
        <v>60</v>
      </c>
      <c r="O12" s="33" t="s">
        <v>55</v>
      </c>
      <c r="P12" s="33" t="s">
        <v>55</v>
      </c>
      <c r="Q12" s="32"/>
      <c r="R12" s="42" t="s">
        <v>58</v>
      </c>
      <c r="S12" s="42" t="s">
        <v>58</v>
      </c>
    </row>
    <row r="13" ht="22.5" customHeight="1">
      <c r="A13" s="43"/>
      <c r="B13" s="44" t="s">
        <v>26</v>
      </c>
      <c r="C13" s="45" t="s">
        <v>106</v>
      </c>
      <c r="D13" s="46" t="s">
        <v>58</v>
      </c>
      <c r="E13" s="47">
        <v>4.0</v>
      </c>
      <c r="F13" s="48" t="s">
        <v>112</v>
      </c>
      <c r="G13" s="49" t="s">
        <v>58</v>
      </c>
      <c r="H13" s="49" t="s">
        <v>58</v>
      </c>
      <c r="I13" s="50" t="s">
        <v>53</v>
      </c>
      <c r="J13" s="51">
        <v>1.0</v>
      </c>
      <c r="K13" s="51">
        <v>0.0</v>
      </c>
      <c r="L13" s="52">
        <v>60.0</v>
      </c>
      <c r="M13" s="52">
        <v>1.0</v>
      </c>
      <c r="N13" s="52" t="s">
        <v>54</v>
      </c>
      <c r="O13" s="53" t="s">
        <v>40</v>
      </c>
      <c r="P13" s="53" t="s">
        <v>55</v>
      </c>
      <c r="Q13" s="54"/>
      <c r="R13" s="55" t="s">
        <v>58</v>
      </c>
      <c r="S13" s="55" t="s">
        <v>58</v>
      </c>
    </row>
    <row r="14" ht="22.5" customHeight="1">
      <c r="A14" s="16"/>
      <c r="B14" s="22"/>
      <c r="C14" s="37"/>
      <c r="D14" s="28"/>
      <c r="E14" s="38"/>
      <c r="F14" s="28"/>
      <c r="G14" s="28"/>
      <c r="H14" s="28"/>
      <c r="I14" s="39"/>
      <c r="J14" s="30"/>
      <c r="K14" s="30"/>
      <c r="L14" s="32"/>
      <c r="M14" s="32"/>
      <c r="N14" s="32"/>
      <c r="O14" s="33"/>
      <c r="P14" s="33"/>
      <c r="Q14" s="32"/>
      <c r="R14" s="34"/>
      <c r="S14" s="34"/>
    </row>
    <row r="15" ht="22.5" customHeight="1">
      <c r="A15" s="16"/>
      <c r="B15" s="22" t="s">
        <v>41</v>
      </c>
      <c r="C15" s="37" t="s">
        <v>113</v>
      </c>
      <c r="D15" s="28" t="s">
        <v>114</v>
      </c>
      <c r="E15" s="38">
        <v>1.0</v>
      </c>
      <c r="F15" s="28" t="s">
        <v>115</v>
      </c>
      <c r="G15" s="28" t="s">
        <v>30</v>
      </c>
      <c r="H15" s="28" t="s">
        <v>109</v>
      </c>
      <c r="I15" s="29" t="s">
        <v>53</v>
      </c>
      <c r="J15" s="30">
        <v>2.0</v>
      </c>
      <c r="K15" s="30">
        <v>0.0</v>
      </c>
      <c r="L15" s="31">
        <v>120.0</v>
      </c>
      <c r="M15" s="31">
        <v>2.0</v>
      </c>
      <c r="N15" s="31" t="s">
        <v>54</v>
      </c>
      <c r="O15" s="33" t="s">
        <v>35</v>
      </c>
      <c r="P15" s="33" t="s">
        <v>55</v>
      </c>
      <c r="Q15" s="32"/>
      <c r="R15" s="42" t="s">
        <v>75</v>
      </c>
      <c r="S15" s="42" t="s">
        <v>57</v>
      </c>
    </row>
    <row r="16" ht="22.5" customHeight="1">
      <c r="A16" s="16"/>
      <c r="B16" s="22" t="s">
        <v>41</v>
      </c>
      <c r="C16" s="37" t="s">
        <v>113</v>
      </c>
      <c r="D16" s="28" t="s">
        <v>58</v>
      </c>
      <c r="E16" s="38">
        <v>1.0</v>
      </c>
      <c r="F16" s="28" t="s">
        <v>115</v>
      </c>
      <c r="G16" s="28" t="s">
        <v>58</v>
      </c>
      <c r="H16" s="28" t="s">
        <v>58</v>
      </c>
      <c r="I16" s="29" t="s">
        <v>34</v>
      </c>
      <c r="J16" s="30">
        <v>2.0</v>
      </c>
      <c r="K16" s="30">
        <v>0.0</v>
      </c>
      <c r="L16" s="31">
        <v>0.0</v>
      </c>
      <c r="M16" s="31">
        <v>0.0</v>
      </c>
      <c r="N16" s="31" t="s">
        <v>54</v>
      </c>
      <c r="O16" s="33" t="s">
        <v>55</v>
      </c>
      <c r="P16" s="33" t="s">
        <v>55</v>
      </c>
      <c r="Q16" s="32"/>
      <c r="R16" s="42" t="s">
        <v>58</v>
      </c>
      <c r="S16" s="42" t="s">
        <v>58</v>
      </c>
    </row>
    <row r="17" ht="22.5" customHeight="1">
      <c r="A17" s="16"/>
      <c r="B17" s="22" t="s">
        <v>41</v>
      </c>
      <c r="C17" s="37" t="s">
        <v>113</v>
      </c>
      <c r="D17" s="28" t="s">
        <v>58</v>
      </c>
      <c r="E17" s="38">
        <v>2.0</v>
      </c>
      <c r="F17" s="28" t="s">
        <v>116</v>
      </c>
      <c r="G17" s="28"/>
      <c r="H17" s="28" t="s">
        <v>58</v>
      </c>
      <c r="I17" s="29" t="s">
        <v>38</v>
      </c>
      <c r="J17" s="30">
        <v>1.0</v>
      </c>
      <c r="K17" s="30">
        <v>0.0</v>
      </c>
      <c r="L17" s="31">
        <v>200.0</v>
      </c>
      <c r="M17" s="31">
        <v>0.0</v>
      </c>
      <c r="N17" s="31" t="s">
        <v>54</v>
      </c>
      <c r="O17" s="33" t="s">
        <v>55</v>
      </c>
      <c r="P17" s="33" t="s">
        <v>55</v>
      </c>
      <c r="Q17" s="32"/>
      <c r="R17" s="42" t="s">
        <v>58</v>
      </c>
      <c r="S17" s="42" t="s">
        <v>58</v>
      </c>
    </row>
    <row r="18" ht="22.5" customHeight="1">
      <c r="A18" s="16"/>
      <c r="B18" s="56" t="s">
        <v>41</v>
      </c>
      <c r="C18" s="57" t="s">
        <v>113</v>
      </c>
      <c r="D18" s="28" t="s">
        <v>58</v>
      </c>
      <c r="E18" s="38">
        <v>3.0</v>
      </c>
      <c r="F18" s="28" t="s">
        <v>117</v>
      </c>
      <c r="G18" s="28"/>
      <c r="H18" s="28" t="s">
        <v>58</v>
      </c>
      <c r="I18" s="29" t="s">
        <v>36</v>
      </c>
      <c r="J18" s="30">
        <v>1.0</v>
      </c>
      <c r="K18" s="30">
        <v>180.0</v>
      </c>
      <c r="L18" s="31">
        <v>0.0</v>
      </c>
      <c r="M18" s="31">
        <v>1.0</v>
      </c>
      <c r="N18" s="31" t="s">
        <v>60</v>
      </c>
      <c r="O18" s="33" t="s">
        <v>55</v>
      </c>
      <c r="P18" s="33" t="s">
        <v>55</v>
      </c>
      <c r="Q18" s="32"/>
      <c r="R18" s="42" t="s">
        <v>58</v>
      </c>
      <c r="S18" s="42" t="s">
        <v>58</v>
      </c>
    </row>
    <row r="19" ht="22.5" customHeight="1">
      <c r="A19" s="16"/>
      <c r="B19" s="58"/>
      <c r="C19" s="59" t="s">
        <v>113</v>
      </c>
      <c r="D19" s="28"/>
      <c r="E19" s="38"/>
      <c r="F19" s="28"/>
      <c r="G19" s="28"/>
      <c r="H19" s="28"/>
      <c r="I19" s="29" t="s">
        <v>53</v>
      </c>
      <c r="J19" s="30"/>
      <c r="K19" s="30"/>
      <c r="L19" s="31"/>
      <c r="M19" s="31"/>
      <c r="N19" s="31"/>
      <c r="O19" s="33"/>
      <c r="P19" s="33" t="s">
        <v>40</v>
      </c>
      <c r="Q19" s="32"/>
      <c r="R19" s="42"/>
      <c r="S19" s="42"/>
    </row>
    <row r="20" ht="22.5" customHeight="1">
      <c r="A20" s="16"/>
      <c r="B20" s="22"/>
      <c r="C20" s="37"/>
      <c r="D20" s="28"/>
      <c r="E20" s="38"/>
      <c r="F20" s="28"/>
      <c r="G20" s="28"/>
      <c r="H20" s="28"/>
      <c r="I20" s="39"/>
      <c r="J20" s="30"/>
      <c r="K20" s="30"/>
      <c r="L20" s="32"/>
      <c r="M20" s="32"/>
      <c r="N20" s="32"/>
      <c r="O20" s="33"/>
      <c r="P20" s="33"/>
      <c r="Q20" s="32"/>
      <c r="R20" s="34"/>
      <c r="S20" s="34"/>
    </row>
    <row r="21" ht="22.5" customHeight="1">
      <c r="A21" s="16"/>
      <c r="B21" s="22" t="s">
        <v>45</v>
      </c>
      <c r="C21" s="37" t="s">
        <v>118</v>
      </c>
      <c r="D21" s="28" t="s">
        <v>119</v>
      </c>
      <c r="E21" s="38">
        <v>1.0</v>
      </c>
      <c r="F21" s="28" t="s">
        <v>120</v>
      </c>
      <c r="G21" s="28" t="s">
        <v>30</v>
      </c>
      <c r="H21" s="28" t="s">
        <v>109</v>
      </c>
      <c r="I21" s="29" t="s">
        <v>53</v>
      </c>
      <c r="J21" s="30">
        <v>1.0</v>
      </c>
      <c r="K21" s="30">
        <v>0.0</v>
      </c>
      <c r="L21" s="31">
        <v>60.0</v>
      </c>
      <c r="M21" s="31">
        <v>1.0</v>
      </c>
      <c r="N21" s="31" t="s">
        <v>54</v>
      </c>
      <c r="O21" s="33" t="s">
        <v>35</v>
      </c>
      <c r="P21" s="33" t="s">
        <v>55</v>
      </c>
      <c r="Q21" s="32"/>
      <c r="R21" s="42" t="s">
        <v>75</v>
      </c>
      <c r="S21" s="42" t="s">
        <v>57</v>
      </c>
    </row>
    <row r="22" ht="22.5" customHeight="1">
      <c r="A22" s="16"/>
      <c r="B22" s="22" t="s">
        <v>45</v>
      </c>
      <c r="C22" s="37" t="s">
        <v>118</v>
      </c>
      <c r="D22" s="28" t="s">
        <v>58</v>
      </c>
      <c r="E22" s="38">
        <v>1.0</v>
      </c>
      <c r="F22" s="28" t="s">
        <v>120</v>
      </c>
      <c r="G22" s="28" t="s">
        <v>58</v>
      </c>
      <c r="H22" s="28" t="s">
        <v>58</v>
      </c>
      <c r="I22" s="29" t="s">
        <v>34</v>
      </c>
      <c r="J22" s="30">
        <v>1.0</v>
      </c>
      <c r="K22" s="30">
        <v>0.0</v>
      </c>
      <c r="L22" s="31">
        <v>0.0</v>
      </c>
      <c r="M22" s="31">
        <v>0.0</v>
      </c>
      <c r="N22" s="31" t="s">
        <v>54</v>
      </c>
      <c r="O22" s="33" t="s">
        <v>55</v>
      </c>
      <c r="P22" s="33" t="s">
        <v>55</v>
      </c>
      <c r="Q22" s="32"/>
      <c r="R22" s="42" t="s">
        <v>58</v>
      </c>
      <c r="S22" s="42" t="s">
        <v>58</v>
      </c>
    </row>
    <row r="23" ht="22.5" customHeight="1">
      <c r="A23" s="16"/>
      <c r="B23" s="22" t="s">
        <v>45</v>
      </c>
      <c r="C23" s="37" t="s">
        <v>118</v>
      </c>
      <c r="D23" s="28" t="s">
        <v>58</v>
      </c>
      <c r="E23" s="38">
        <v>2.0</v>
      </c>
      <c r="F23" s="28" t="s">
        <v>121</v>
      </c>
      <c r="G23" s="28" t="s">
        <v>58</v>
      </c>
      <c r="H23" s="28" t="s">
        <v>58</v>
      </c>
      <c r="I23" s="29" t="s">
        <v>38</v>
      </c>
      <c r="J23" s="30">
        <v>1.0</v>
      </c>
      <c r="K23" s="30">
        <v>0.0</v>
      </c>
      <c r="L23" s="31">
        <v>0.0</v>
      </c>
      <c r="M23" s="31">
        <v>0.0</v>
      </c>
      <c r="N23" s="31" t="s">
        <v>54</v>
      </c>
      <c r="O23" s="33" t="s">
        <v>55</v>
      </c>
      <c r="P23" s="33" t="s">
        <v>55</v>
      </c>
      <c r="Q23" s="32"/>
      <c r="R23" s="42" t="s">
        <v>58</v>
      </c>
      <c r="S23" s="42" t="s">
        <v>58</v>
      </c>
    </row>
    <row r="24" ht="22.5" customHeight="1">
      <c r="A24" s="16"/>
      <c r="B24" s="22" t="s">
        <v>45</v>
      </c>
      <c r="C24" s="37" t="s">
        <v>118</v>
      </c>
      <c r="D24" s="28" t="s">
        <v>58</v>
      </c>
      <c r="E24" s="38">
        <v>3.0</v>
      </c>
      <c r="F24" s="28" t="s">
        <v>122</v>
      </c>
      <c r="G24" s="28" t="s">
        <v>58</v>
      </c>
      <c r="H24" s="28" t="s">
        <v>58</v>
      </c>
      <c r="I24" s="29" t="s">
        <v>36</v>
      </c>
      <c r="J24" s="30">
        <v>1.0</v>
      </c>
      <c r="K24" s="30">
        <v>180.0</v>
      </c>
      <c r="L24" s="31">
        <v>0.0</v>
      </c>
      <c r="M24" s="31">
        <v>1.0</v>
      </c>
      <c r="N24" s="31" t="s">
        <v>60</v>
      </c>
      <c r="O24" s="33" t="s">
        <v>55</v>
      </c>
      <c r="P24" s="33" t="s">
        <v>55</v>
      </c>
      <c r="Q24" s="32"/>
      <c r="R24" s="42" t="s">
        <v>58</v>
      </c>
      <c r="S24" s="42" t="s">
        <v>58</v>
      </c>
    </row>
    <row r="25" ht="22.5" customHeight="1">
      <c r="A25" s="16"/>
      <c r="B25" s="22"/>
      <c r="C25" s="40" t="s">
        <v>118</v>
      </c>
      <c r="D25" s="28"/>
      <c r="E25" s="38"/>
      <c r="F25" s="28"/>
      <c r="G25" s="28"/>
      <c r="H25" s="28"/>
      <c r="I25" s="29" t="s">
        <v>53</v>
      </c>
      <c r="J25" s="30"/>
      <c r="K25" s="30"/>
      <c r="L25" s="31"/>
      <c r="M25" s="31"/>
      <c r="N25" s="31"/>
      <c r="O25" s="33"/>
      <c r="P25" s="33" t="s">
        <v>40</v>
      </c>
      <c r="Q25" s="32"/>
      <c r="R25" s="42"/>
      <c r="S25" s="42"/>
    </row>
    <row r="26" ht="22.5" customHeight="1">
      <c r="A26" s="16"/>
      <c r="B26" s="22"/>
      <c r="C26" s="37"/>
      <c r="D26" s="28"/>
      <c r="E26" s="38"/>
      <c r="F26" s="28"/>
      <c r="G26" s="28"/>
      <c r="H26" s="28"/>
      <c r="I26" s="39"/>
      <c r="J26" s="30"/>
      <c r="K26" s="30"/>
      <c r="L26" s="32"/>
      <c r="M26" s="32"/>
      <c r="N26" s="32"/>
      <c r="O26" s="33"/>
      <c r="P26" s="33"/>
      <c r="Q26" s="32"/>
      <c r="R26" s="34"/>
      <c r="S26" s="34"/>
    </row>
  </sheetData>
  <customSheetViews>
    <customSheetView guid="{49FF6D53-992D-4646-A2FC-08831FD96999}" filter="1" showAutoFilter="1">
      <autoFilter ref="$B$8:$S$26"/>
    </customSheetView>
  </customSheetViews>
  <mergeCells count="7">
    <mergeCell ref="B1:C1"/>
    <mergeCell ref="B2:C2"/>
    <mergeCell ref="F2:G5"/>
    <mergeCell ref="B4:C4"/>
    <mergeCell ref="B5:C5"/>
    <mergeCell ref="B6:C6"/>
    <mergeCell ref="F7:H7"/>
  </mergeCells>
  <dataValidations>
    <dataValidation type="list" allowBlank="1" sqref="I9:I26">
      <formula1>"Vídeo aula (roteiro,Slide,Plano de Aula,Fórum,PDF (avulso),Tela Interativa,Quiz,Ebook"</formula1>
    </dataValidation>
    <dataValidation type="custom" allowBlank="1" showDropDown="1" sqref="E9:E26 J9:K26">
      <formula1>AND(ISNUMBER(E9),(NOT(OR(NOT(ISERROR(DATEVALUE(E9))), AND(ISNUMBER(E9), LEFT(CELL("format", E9))="D")))))</formula1>
    </dataValidation>
    <dataValidation type="list" allowBlank="1" sqref="O9:P26">
      <formula1>"Não prevista,Quiz,Atividade Aberta,Genially,Portfólio (várias atividades),Idem"</formula1>
    </dataValidation>
    <dataValidation allowBlank="1" showDropDown="1" sqref="B9:B26 D9:D26 F9:H26"/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2.63" defaultRowHeight="15.75"/>
  <cols>
    <col customWidth="1" min="1" max="1" width="11.75"/>
    <col customWidth="1" min="2" max="2" width="17.25"/>
    <col customWidth="1" min="3" max="3" width="33.75"/>
    <col customWidth="1" min="4" max="4" width="41.63"/>
    <col customWidth="1" min="5" max="5" width="16.5"/>
    <col customWidth="1" min="6" max="6" width="40.88"/>
    <col customWidth="1" min="7" max="7" width="22.13"/>
    <col customWidth="1" min="8" max="8" width="42.38"/>
    <col customWidth="1" min="9" max="9" width="24.88"/>
    <col customWidth="1" min="10" max="11" width="37.63"/>
    <col customWidth="1" min="12" max="12" width="29.0"/>
    <col customWidth="1" min="13" max="13" width="30.25"/>
    <col customWidth="1" min="14" max="14" width="25.88"/>
    <col customWidth="1" min="15" max="16" width="26.5"/>
    <col customWidth="1" min="17" max="17" width="24.25"/>
    <col customWidth="1" min="18" max="18" width="28.38"/>
    <col customWidth="1" min="19" max="19" width="46.13"/>
  </cols>
  <sheetData>
    <row r="1">
      <c r="A1" s="1"/>
      <c r="B1" s="2"/>
      <c r="C1" s="3"/>
      <c r="D1" s="4"/>
      <c r="E1" s="4"/>
      <c r="F1" s="4"/>
      <c r="G1" s="5"/>
      <c r="H1" s="4"/>
      <c r="I1" s="4"/>
      <c r="J1" s="4"/>
      <c r="K1" s="4"/>
      <c r="L1" s="5"/>
      <c r="M1" s="6"/>
      <c r="N1" s="6"/>
      <c r="O1" s="6"/>
      <c r="P1" s="6"/>
      <c r="Q1" s="6"/>
      <c r="R1" s="5"/>
      <c r="S1" s="5"/>
    </row>
    <row r="2" ht="21.75" customHeight="1">
      <c r="B2" s="7" t="s">
        <v>0</v>
      </c>
      <c r="C2" s="3"/>
      <c r="D2" s="8" t="s">
        <v>1</v>
      </c>
      <c r="E2" s="9">
        <f>(SUM(K:K)/60/24)</f>
        <v>0.575</v>
      </c>
      <c r="F2" s="10" t="s">
        <v>123</v>
      </c>
      <c r="H2" s="4"/>
      <c r="I2" s="5"/>
      <c r="J2" s="6"/>
      <c r="K2" s="6"/>
      <c r="L2" s="6"/>
      <c r="M2" s="6"/>
      <c r="N2" s="6"/>
      <c r="O2" s="5"/>
      <c r="P2" s="5"/>
    </row>
    <row r="3">
      <c r="A3" s="4"/>
      <c r="B3" s="4"/>
      <c r="C3" s="4"/>
      <c r="D3" s="11" t="s">
        <v>3</v>
      </c>
      <c r="E3" s="9">
        <f>(SUM(L:L)/60/24)</f>
        <v>1.75</v>
      </c>
      <c r="H3" s="4"/>
      <c r="I3" s="4"/>
      <c r="J3" s="4"/>
      <c r="K3" s="4"/>
      <c r="L3" s="5"/>
      <c r="M3" s="6"/>
      <c r="N3" s="6"/>
      <c r="O3" s="6"/>
      <c r="P3" s="6"/>
      <c r="Q3" s="6"/>
      <c r="R3" s="5"/>
      <c r="S3" s="5"/>
    </row>
    <row r="4" ht="18.75" customHeight="1">
      <c r="A4" s="1"/>
      <c r="B4" s="12" t="s">
        <v>4</v>
      </c>
      <c r="C4" s="13"/>
      <c r="D4" s="14" t="s">
        <v>5</v>
      </c>
      <c r="E4" s="9">
        <f>(SUM(Q:Q)/60/24)</f>
        <v>0</v>
      </c>
      <c r="H4" s="4"/>
      <c r="I4" s="4"/>
      <c r="J4" s="4"/>
      <c r="K4" s="4"/>
      <c r="L4" s="5"/>
      <c r="M4" s="6"/>
      <c r="N4" s="6"/>
      <c r="O4" s="6"/>
      <c r="P4" s="6"/>
      <c r="Q4" s="6"/>
      <c r="R4" s="5"/>
      <c r="S4" s="5"/>
    </row>
    <row r="5">
      <c r="A5" s="1"/>
      <c r="B5" s="12" t="s">
        <v>6</v>
      </c>
      <c r="C5" s="13"/>
      <c r="D5" s="11" t="s">
        <v>7</v>
      </c>
      <c r="E5" s="15">
        <f>SUM(E2:E4)</f>
        <v>2.325</v>
      </c>
      <c r="H5" s="4"/>
      <c r="I5" s="4"/>
      <c r="J5" s="4"/>
      <c r="K5" s="4"/>
      <c r="L5" s="5"/>
      <c r="M5" s="6"/>
      <c r="N5" s="6"/>
      <c r="O5" s="6"/>
      <c r="P5" s="6"/>
      <c r="Q5" s="6"/>
      <c r="R5" s="5"/>
      <c r="S5" s="5"/>
    </row>
    <row r="6">
      <c r="A6" s="1"/>
      <c r="B6" s="2"/>
      <c r="C6" s="3"/>
      <c r="D6" s="4"/>
      <c r="E6" s="4"/>
      <c r="F6" s="4"/>
      <c r="G6" s="5"/>
      <c r="H6" s="4"/>
      <c r="I6" s="4"/>
      <c r="J6" s="4"/>
      <c r="K6" s="4"/>
      <c r="L6" s="5"/>
      <c r="M6" s="6"/>
      <c r="N6" s="6"/>
      <c r="O6" s="6"/>
      <c r="P6" s="6"/>
      <c r="Q6" s="6"/>
      <c r="R6" s="5"/>
      <c r="S6" s="5"/>
    </row>
    <row r="7" ht="26.25" customHeight="1">
      <c r="A7" s="16"/>
      <c r="B7" s="16"/>
      <c r="C7" s="4"/>
      <c r="D7" s="4"/>
      <c r="E7" s="4"/>
      <c r="F7" s="17"/>
      <c r="G7" s="18"/>
      <c r="H7" s="13"/>
      <c r="I7" s="4"/>
      <c r="J7" s="4"/>
      <c r="K7" s="4"/>
      <c r="L7" s="5"/>
      <c r="M7" s="6"/>
      <c r="N7" s="6"/>
      <c r="O7" s="6"/>
      <c r="P7" s="6"/>
      <c r="Q7" s="6"/>
      <c r="R7" s="5"/>
      <c r="S7" s="5"/>
    </row>
    <row r="8" ht="22.5" customHeight="1">
      <c r="A8" s="16"/>
      <c r="B8" s="19" t="s">
        <v>8</v>
      </c>
      <c r="C8" s="19" t="s">
        <v>9</v>
      </c>
      <c r="D8" s="19" t="s">
        <v>10</v>
      </c>
      <c r="E8" s="19" t="s">
        <v>11</v>
      </c>
      <c r="F8" s="19" t="s">
        <v>12</v>
      </c>
      <c r="G8" s="19" t="s">
        <v>13</v>
      </c>
      <c r="H8" s="19" t="s">
        <v>14</v>
      </c>
      <c r="I8" s="20" t="s">
        <v>15</v>
      </c>
      <c r="J8" s="21" t="s">
        <v>16</v>
      </c>
      <c r="K8" s="21" t="s">
        <v>17</v>
      </c>
      <c r="L8" s="21" t="s">
        <v>18</v>
      </c>
      <c r="M8" s="21" t="s">
        <v>19</v>
      </c>
      <c r="N8" s="21" t="s">
        <v>20</v>
      </c>
      <c r="O8" s="20" t="s">
        <v>21</v>
      </c>
      <c r="P8" s="20" t="s">
        <v>22</v>
      </c>
      <c r="Q8" s="21" t="s">
        <v>23</v>
      </c>
      <c r="R8" s="20" t="s">
        <v>24</v>
      </c>
      <c r="S8" s="20" t="s">
        <v>25</v>
      </c>
    </row>
    <row r="9" ht="22.5" customHeight="1">
      <c r="A9" s="16"/>
      <c r="B9" s="22" t="s">
        <v>26</v>
      </c>
      <c r="C9" s="37" t="s">
        <v>124</v>
      </c>
      <c r="D9" s="28" t="s">
        <v>125</v>
      </c>
      <c r="E9" s="38">
        <v>1.0</v>
      </c>
      <c r="F9" s="28" t="s">
        <v>126</v>
      </c>
      <c r="G9" s="28" t="s">
        <v>30</v>
      </c>
      <c r="H9" s="28" t="s">
        <v>31</v>
      </c>
      <c r="I9" s="39" t="s">
        <v>53</v>
      </c>
      <c r="J9" s="30">
        <v>4.0</v>
      </c>
      <c r="K9" s="30">
        <v>0.0</v>
      </c>
      <c r="L9" s="32">
        <v>360.0</v>
      </c>
      <c r="M9" s="32">
        <v>3.0</v>
      </c>
      <c r="N9" s="32" t="s">
        <v>54</v>
      </c>
      <c r="O9" s="33" t="s">
        <v>55</v>
      </c>
      <c r="P9" s="33" t="s">
        <v>35</v>
      </c>
      <c r="Q9" s="32"/>
      <c r="R9" s="34" t="s">
        <v>75</v>
      </c>
      <c r="S9" s="34" t="s">
        <v>57</v>
      </c>
    </row>
    <row r="10" ht="22.5" customHeight="1">
      <c r="A10" s="16"/>
      <c r="B10" s="22" t="s">
        <v>26</v>
      </c>
      <c r="C10" s="37" t="s">
        <v>124</v>
      </c>
      <c r="D10" s="28" t="s">
        <v>37</v>
      </c>
      <c r="E10" s="38">
        <v>1.0</v>
      </c>
      <c r="F10" s="28" t="s">
        <v>37</v>
      </c>
      <c r="G10" s="28" t="s">
        <v>30</v>
      </c>
      <c r="H10" s="28" t="s">
        <v>31</v>
      </c>
      <c r="I10" s="39" t="s">
        <v>34</v>
      </c>
      <c r="J10" s="30">
        <v>4.0</v>
      </c>
      <c r="K10" s="30">
        <v>0.0</v>
      </c>
      <c r="L10" s="32">
        <v>0.0</v>
      </c>
      <c r="M10" s="32">
        <v>0.0</v>
      </c>
      <c r="N10" s="32" t="s">
        <v>54</v>
      </c>
      <c r="O10" s="33" t="s">
        <v>55</v>
      </c>
      <c r="P10" s="33" t="s">
        <v>55</v>
      </c>
      <c r="Q10" s="32"/>
      <c r="R10" s="34" t="s">
        <v>75</v>
      </c>
      <c r="S10" s="34" t="s">
        <v>37</v>
      </c>
    </row>
    <row r="11" ht="22.5" customHeight="1">
      <c r="A11" s="16"/>
      <c r="B11" s="22" t="s">
        <v>26</v>
      </c>
      <c r="C11" s="37" t="s">
        <v>124</v>
      </c>
      <c r="D11" s="28" t="s">
        <v>37</v>
      </c>
      <c r="E11" s="38">
        <v>2.0</v>
      </c>
      <c r="F11" s="28" t="s">
        <v>127</v>
      </c>
      <c r="G11" s="28" t="s">
        <v>30</v>
      </c>
      <c r="H11" s="28" t="s">
        <v>31</v>
      </c>
      <c r="I11" s="39" t="s">
        <v>36</v>
      </c>
      <c r="J11" s="30">
        <v>1.0</v>
      </c>
      <c r="K11" s="30">
        <v>180.0</v>
      </c>
      <c r="L11" s="32">
        <v>0.0</v>
      </c>
      <c r="M11" s="32">
        <v>1.0</v>
      </c>
      <c r="N11" s="32" t="s">
        <v>60</v>
      </c>
      <c r="O11" s="33" t="s">
        <v>55</v>
      </c>
      <c r="P11" s="33" t="s">
        <v>55</v>
      </c>
      <c r="Q11" s="32"/>
      <c r="R11" s="34" t="s">
        <v>75</v>
      </c>
      <c r="S11" s="34" t="s">
        <v>37</v>
      </c>
    </row>
    <row r="12" ht="22.5" customHeight="1">
      <c r="A12" s="16"/>
      <c r="B12" s="22" t="s">
        <v>26</v>
      </c>
      <c r="C12" s="37" t="s">
        <v>124</v>
      </c>
      <c r="D12" s="28" t="s">
        <v>37</v>
      </c>
      <c r="E12" s="38">
        <v>3.0</v>
      </c>
      <c r="F12" s="28" t="s">
        <v>128</v>
      </c>
      <c r="G12" s="28" t="s">
        <v>30</v>
      </c>
      <c r="H12" s="28" t="s">
        <v>31</v>
      </c>
      <c r="I12" s="39" t="s">
        <v>53</v>
      </c>
      <c r="J12" s="30">
        <v>1.0</v>
      </c>
      <c r="K12" s="30">
        <v>0.0</v>
      </c>
      <c r="L12" s="32">
        <v>180.0</v>
      </c>
      <c r="M12" s="32">
        <v>1.0</v>
      </c>
      <c r="N12" s="32" t="s">
        <v>54</v>
      </c>
      <c r="O12" s="33" t="s">
        <v>55</v>
      </c>
      <c r="P12" s="33" t="s">
        <v>40</v>
      </c>
      <c r="Q12" s="32"/>
      <c r="R12" s="34" t="s">
        <v>75</v>
      </c>
      <c r="S12" s="34" t="s">
        <v>37</v>
      </c>
    </row>
    <row r="13" ht="22.5" customHeight="1">
      <c r="A13" s="16"/>
      <c r="B13" s="22" t="s">
        <v>26</v>
      </c>
      <c r="C13" s="37" t="s">
        <v>124</v>
      </c>
      <c r="D13" s="28" t="s">
        <v>58</v>
      </c>
      <c r="E13" s="38">
        <v>4.0</v>
      </c>
      <c r="F13" s="28" t="s">
        <v>78</v>
      </c>
      <c r="G13" s="28" t="s">
        <v>30</v>
      </c>
      <c r="H13" s="28" t="s">
        <v>31</v>
      </c>
      <c r="I13" s="39" t="s">
        <v>38</v>
      </c>
      <c r="J13" s="30">
        <v>1.0</v>
      </c>
      <c r="K13" s="30">
        <v>0.0</v>
      </c>
      <c r="L13" s="32">
        <v>75.0</v>
      </c>
      <c r="M13" s="32"/>
      <c r="N13" s="32" t="s">
        <v>54</v>
      </c>
      <c r="O13" s="33" t="s">
        <v>55</v>
      </c>
      <c r="P13" s="33" t="s">
        <v>55</v>
      </c>
      <c r="Q13" s="32"/>
      <c r="R13" s="34" t="s">
        <v>58</v>
      </c>
      <c r="S13" s="34" t="s">
        <v>33</v>
      </c>
    </row>
    <row r="14" ht="22.5" customHeight="1">
      <c r="A14" s="16"/>
      <c r="B14" s="22" t="s">
        <v>41</v>
      </c>
      <c r="C14" s="40" t="s">
        <v>129</v>
      </c>
      <c r="D14" s="28" t="s">
        <v>130</v>
      </c>
      <c r="E14" s="38">
        <v>1.0</v>
      </c>
      <c r="F14" s="28" t="s">
        <v>131</v>
      </c>
      <c r="G14" s="28" t="s">
        <v>30</v>
      </c>
      <c r="H14" s="28" t="s">
        <v>31</v>
      </c>
      <c r="I14" s="39" t="s">
        <v>53</v>
      </c>
      <c r="J14" s="30">
        <v>3.0</v>
      </c>
      <c r="K14" s="30">
        <v>0.0</v>
      </c>
      <c r="L14" s="32">
        <v>400.0</v>
      </c>
      <c r="M14" s="32">
        <v>9.0</v>
      </c>
      <c r="N14" s="32" t="s">
        <v>54</v>
      </c>
      <c r="O14" s="33" t="s">
        <v>55</v>
      </c>
      <c r="P14" s="33" t="s">
        <v>35</v>
      </c>
      <c r="Q14" s="32"/>
      <c r="R14" s="34" t="s">
        <v>75</v>
      </c>
      <c r="S14" s="34" t="s">
        <v>57</v>
      </c>
    </row>
    <row r="15" ht="22.5" customHeight="1">
      <c r="A15" s="16"/>
      <c r="B15" s="22" t="s">
        <v>41</v>
      </c>
      <c r="C15" s="40" t="s">
        <v>129</v>
      </c>
      <c r="D15" s="28" t="s">
        <v>37</v>
      </c>
      <c r="E15" s="38">
        <v>1.0</v>
      </c>
      <c r="F15" s="28" t="s">
        <v>37</v>
      </c>
      <c r="G15" s="28" t="s">
        <v>30</v>
      </c>
      <c r="H15" s="28" t="s">
        <v>31</v>
      </c>
      <c r="I15" s="39" t="s">
        <v>34</v>
      </c>
      <c r="J15" s="30">
        <v>3.0</v>
      </c>
      <c r="K15" s="30">
        <v>0.0</v>
      </c>
      <c r="L15" s="32">
        <v>0.0</v>
      </c>
      <c r="M15" s="32">
        <v>0.0</v>
      </c>
      <c r="N15" s="32" t="s">
        <v>54</v>
      </c>
      <c r="O15" s="33" t="s">
        <v>55</v>
      </c>
      <c r="P15" s="33" t="s">
        <v>55</v>
      </c>
      <c r="Q15" s="32"/>
      <c r="R15" s="34" t="s">
        <v>75</v>
      </c>
      <c r="S15" s="34" t="s">
        <v>37</v>
      </c>
    </row>
    <row r="16" ht="22.5" customHeight="1">
      <c r="A16" s="16"/>
      <c r="B16" s="22" t="s">
        <v>41</v>
      </c>
      <c r="C16" s="40" t="s">
        <v>129</v>
      </c>
      <c r="D16" s="28" t="s">
        <v>37</v>
      </c>
      <c r="E16" s="38">
        <v>2.0</v>
      </c>
      <c r="F16" s="28" t="s">
        <v>132</v>
      </c>
      <c r="G16" s="28" t="s">
        <v>30</v>
      </c>
      <c r="H16" s="28" t="s">
        <v>31</v>
      </c>
      <c r="I16" s="39" t="s">
        <v>36</v>
      </c>
      <c r="J16" s="30">
        <v>1.0</v>
      </c>
      <c r="K16" s="30">
        <v>180.0</v>
      </c>
      <c r="L16" s="32">
        <v>0.0</v>
      </c>
      <c r="M16" s="32">
        <v>3.0</v>
      </c>
      <c r="N16" s="32" t="s">
        <v>60</v>
      </c>
      <c r="O16" s="33" t="s">
        <v>55</v>
      </c>
      <c r="P16" s="33" t="s">
        <v>55</v>
      </c>
      <c r="Q16" s="32"/>
      <c r="R16" s="34" t="s">
        <v>75</v>
      </c>
      <c r="S16" s="34" t="s">
        <v>37</v>
      </c>
    </row>
    <row r="17" ht="22.5" customHeight="1">
      <c r="A17" s="16"/>
      <c r="B17" s="22" t="s">
        <v>41</v>
      </c>
      <c r="C17" s="40" t="s">
        <v>129</v>
      </c>
      <c r="D17" s="28" t="s">
        <v>37</v>
      </c>
      <c r="E17" s="38">
        <v>3.0</v>
      </c>
      <c r="F17" s="28" t="s">
        <v>133</v>
      </c>
      <c r="G17" s="28" t="s">
        <v>30</v>
      </c>
      <c r="H17" s="28" t="s">
        <v>31</v>
      </c>
      <c r="I17" s="39" t="s">
        <v>53</v>
      </c>
      <c r="J17" s="30">
        <v>1.0</v>
      </c>
      <c r="K17" s="30">
        <v>0.0</v>
      </c>
      <c r="L17" s="32">
        <v>180.0</v>
      </c>
      <c r="M17" s="32">
        <v>3.0</v>
      </c>
      <c r="N17" s="32" t="s">
        <v>54</v>
      </c>
      <c r="O17" s="33" t="s">
        <v>55</v>
      </c>
      <c r="P17" s="33" t="s">
        <v>40</v>
      </c>
      <c r="Q17" s="32"/>
      <c r="R17" s="34" t="s">
        <v>75</v>
      </c>
      <c r="S17" s="34" t="s">
        <v>37</v>
      </c>
    </row>
    <row r="18" ht="22.5" customHeight="1">
      <c r="A18" s="16"/>
      <c r="B18" s="22" t="s">
        <v>41</v>
      </c>
      <c r="C18" s="40" t="s">
        <v>129</v>
      </c>
      <c r="D18" s="28" t="s">
        <v>58</v>
      </c>
      <c r="E18" s="38">
        <v>4.0</v>
      </c>
      <c r="F18" s="28" t="s">
        <v>78</v>
      </c>
      <c r="G18" s="28" t="s">
        <v>30</v>
      </c>
      <c r="H18" s="28" t="s">
        <v>31</v>
      </c>
      <c r="I18" s="39" t="s">
        <v>38</v>
      </c>
      <c r="J18" s="30">
        <v>1.0</v>
      </c>
      <c r="K18" s="30">
        <v>0.0</v>
      </c>
      <c r="L18" s="32">
        <v>55.0</v>
      </c>
      <c r="M18" s="32"/>
      <c r="N18" s="32" t="s">
        <v>54</v>
      </c>
      <c r="O18" s="33" t="s">
        <v>55</v>
      </c>
      <c r="P18" s="33" t="s">
        <v>55</v>
      </c>
      <c r="Q18" s="32"/>
      <c r="R18" s="34" t="s">
        <v>58</v>
      </c>
      <c r="S18" s="34" t="s">
        <v>33</v>
      </c>
    </row>
    <row r="19" ht="22.5" customHeight="1">
      <c r="A19" s="16"/>
      <c r="B19" s="22" t="s">
        <v>45</v>
      </c>
      <c r="C19" s="40" t="s">
        <v>134</v>
      </c>
      <c r="D19" s="28" t="s">
        <v>135</v>
      </c>
      <c r="E19" s="38">
        <v>1.0</v>
      </c>
      <c r="F19" s="28" t="s">
        <v>136</v>
      </c>
      <c r="G19" s="28" t="s">
        <v>30</v>
      </c>
      <c r="H19" s="28" t="s">
        <v>31</v>
      </c>
      <c r="I19" s="39" t="s">
        <v>53</v>
      </c>
      <c r="J19" s="30">
        <v>3.0</v>
      </c>
      <c r="K19" s="30">
        <v>0.0</v>
      </c>
      <c r="L19" s="32">
        <v>400.0</v>
      </c>
      <c r="M19" s="32">
        <v>9.0</v>
      </c>
      <c r="N19" s="32" t="s">
        <v>54</v>
      </c>
      <c r="O19" s="33" t="s">
        <v>55</v>
      </c>
      <c r="P19" s="33" t="s">
        <v>35</v>
      </c>
      <c r="Q19" s="32"/>
      <c r="R19" s="34" t="s">
        <v>75</v>
      </c>
      <c r="S19" s="34" t="s">
        <v>57</v>
      </c>
    </row>
    <row r="20" ht="22.5" customHeight="1">
      <c r="A20" s="16"/>
      <c r="B20" s="22" t="s">
        <v>45</v>
      </c>
      <c r="C20" s="40" t="s">
        <v>134</v>
      </c>
      <c r="D20" s="28" t="s">
        <v>37</v>
      </c>
      <c r="E20" s="38">
        <v>1.0</v>
      </c>
      <c r="F20" s="28" t="s">
        <v>37</v>
      </c>
      <c r="G20" s="28" t="s">
        <v>30</v>
      </c>
      <c r="H20" s="28" t="s">
        <v>31</v>
      </c>
      <c r="I20" s="39" t="s">
        <v>34</v>
      </c>
      <c r="J20" s="30">
        <v>3.0</v>
      </c>
      <c r="K20" s="30">
        <v>0.0</v>
      </c>
      <c r="L20" s="32">
        <v>0.0</v>
      </c>
      <c r="M20" s="32">
        <v>0.0</v>
      </c>
      <c r="N20" s="32" t="s">
        <v>54</v>
      </c>
      <c r="O20" s="33" t="s">
        <v>55</v>
      </c>
      <c r="P20" s="33" t="s">
        <v>55</v>
      </c>
      <c r="Q20" s="32"/>
      <c r="R20" s="34" t="s">
        <v>75</v>
      </c>
      <c r="S20" s="34" t="s">
        <v>37</v>
      </c>
    </row>
    <row r="21" ht="22.5" customHeight="1">
      <c r="A21" s="16"/>
      <c r="B21" s="22" t="s">
        <v>45</v>
      </c>
      <c r="C21" s="40" t="s">
        <v>134</v>
      </c>
      <c r="D21" s="28" t="s">
        <v>37</v>
      </c>
      <c r="E21" s="38">
        <v>2.0</v>
      </c>
      <c r="F21" s="28" t="s">
        <v>137</v>
      </c>
      <c r="G21" s="28" t="s">
        <v>30</v>
      </c>
      <c r="H21" s="28" t="s">
        <v>31</v>
      </c>
      <c r="I21" s="39" t="s">
        <v>36</v>
      </c>
      <c r="J21" s="30">
        <v>1.0</v>
      </c>
      <c r="K21" s="30">
        <v>180.0</v>
      </c>
      <c r="L21" s="32">
        <v>0.0</v>
      </c>
      <c r="M21" s="32">
        <v>3.0</v>
      </c>
      <c r="N21" s="32" t="s">
        <v>60</v>
      </c>
      <c r="O21" s="33" t="s">
        <v>55</v>
      </c>
      <c r="P21" s="33" t="s">
        <v>55</v>
      </c>
      <c r="Q21" s="32"/>
      <c r="R21" s="34" t="s">
        <v>75</v>
      </c>
      <c r="S21" s="34" t="s">
        <v>37</v>
      </c>
    </row>
    <row r="22" ht="22.5" customHeight="1">
      <c r="A22" s="16"/>
      <c r="B22" s="22" t="s">
        <v>45</v>
      </c>
      <c r="C22" s="40" t="s">
        <v>134</v>
      </c>
      <c r="D22" s="28" t="s">
        <v>37</v>
      </c>
      <c r="E22" s="38">
        <v>3.0</v>
      </c>
      <c r="F22" s="28" t="s">
        <v>138</v>
      </c>
      <c r="G22" s="28" t="s">
        <v>30</v>
      </c>
      <c r="H22" s="28" t="s">
        <v>31</v>
      </c>
      <c r="I22" s="39" t="s">
        <v>53</v>
      </c>
      <c r="J22" s="30">
        <v>1.0</v>
      </c>
      <c r="K22" s="30">
        <v>0.0</v>
      </c>
      <c r="L22" s="32">
        <v>180.0</v>
      </c>
      <c r="M22" s="32">
        <v>3.0</v>
      </c>
      <c r="N22" s="32" t="s">
        <v>60</v>
      </c>
      <c r="O22" s="33" t="s">
        <v>55</v>
      </c>
      <c r="P22" s="33" t="s">
        <v>40</v>
      </c>
      <c r="Q22" s="32"/>
      <c r="R22" s="34" t="s">
        <v>75</v>
      </c>
      <c r="S22" s="34" t="s">
        <v>37</v>
      </c>
    </row>
    <row r="23" ht="22.5" customHeight="1">
      <c r="A23" s="16"/>
      <c r="B23" s="22" t="s">
        <v>45</v>
      </c>
      <c r="C23" s="40" t="s">
        <v>134</v>
      </c>
      <c r="D23" s="28" t="s">
        <v>58</v>
      </c>
      <c r="E23" s="38">
        <v>4.0</v>
      </c>
      <c r="F23" s="28" t="s">
        <v>78</v>
      </c>
      <c r="G23" s="28" t="s">
        <v>30</v>
      </c>
      <c r="H23" s="28" t="s">
        <v>31</v>
      </c>
      <c r="I23" s="39" t="s">
        <v>38</v>
      </c>
      <c r="J23" s="30">
        <v>1.0</v>
      </c>
      <c r="K23" s="30">
        <v>105.0</v>
      </c>
      <c r="L23" s="32"/>
      <c r="M23" s="32"/>
      <c r="N23" s="32" t="s">
        <v>54</v>
      </c>
      <c r="O23" s="33" t="s">
        <v>55</v>
      </c>
      <c r="P23" s="33" t="s">
        <v>55</v>
      </c>
      <c r="Q23" s="32"/>
      <c r="R23" s="34" t="s">
        <v>58</v>
      </c>
      <c r="S23" s="34" t="s">
        <v>33</v>
      </c>
    </row>
    <row r="24" ht="22.5" customHeight="1">
      <c r="A24" s="60"/>
      <c r="B24" s="61" t="s">
        <v>99</v>
      </c>
      <c r="C24" s="62" t="s">
        <v>139</v>
      </c>
      <c r="D24" s="63" t="s">
        <v>140</v>
      </c>
      <c r="E24" s="64">
        <v>1.0</v>
      </c>
      <c r="F24" s="65" t="s">
        <v>141</v>
      </c>
      <c r="G24" s="65" t="s">
        <v>30</v>
      </c>
      <c r="H24" s="65" t="s">
        <v>31</v>
      </c>
      <c r="I24" s="66" t="s">
        <v>53</v>
      </c>
      <c r="J24" s="67">
        <v>3.0</v>
      </c>
      <c r="K24" s="67">
        <v>3.0</v>
      </c>
      <c r="L24" s="68">
        <v>400.0</v>
      </c>
      <c r="M24" s="68">
        <v>9.0</v>
      </c>
      <c r="N24" s="68" t="s">
        <v>54</v>
      </c>
      <c r="O24" s="69" t="s">
        <v>55</v>
      </c>
      <c r="P24" s="70" t="s">
        <v>35</v>
      </c>
      <c r="Q24" s="71" t="s">
        <v>75</v>
      </c>
      <c r="R24" s="72" t="s">
        <v>57</v>
      </c>
      <c r="S24" s="73"/>
    </row>
    <row r="25" ht="22.5" customHeight="1">
      <c r="A25" s="60"/>
      <c r="B25" s="61" t="s">
        <v>99</v>
      </c>
      <c r="C25" s="74" t="s">
        <v>139</v>
      </c>
      <c r="D25" s="75" t="s">
        <v>37</v>
      </c>
      <c r="E25" s="76">
        <v>1.0</v>
      </c>
      <c r="F25" s="75" t="s">
        <v>37</v>
      </c>
      <c r="G25" s="77" t="s">
        <v>30</v>
      </c>
      <c r="H25" s="77" t="s">
        <v>31</v>
      </c>
      <c r="I25" s="78" t="s">
        <v>34</v>
      </c>
      <c r="J25" s="79">
        <v>3.0</v>
      </c>
      <c r="K25" s="80">
        <v>0.0</v>
      </c>
      <c r="L25" s="81">
        <v>0.0</v>
      </c>
      <c r="M25" s="81">
        <v>0.0</v>
      </c>
      <c r="N25" s="81" t="s">
        <v>54</v>
      </c>
      <c r="O25" s="82" t="s">
        <v>55</v>
      </c>
      <c r="P25" s="82" t="s">
        <v>55</v>
      </c>
      <c r="Q25" s="83" t="s">
        <v>75</v>
      </c>
      <c r="R25" s="75" t="s">
        <v>37</v>
      </c>
      <c r="S25" s="73"/>
    </row>
    <row r="26" ht="22.5" customHeight="1">
      <c r="A26" s="60"/>
      <c r="B26" s="61" t="s">
        <v>99</v>
      </c>
      <c r="C26" s="62" t="s">
        <v>139</v>
      </c>
      <c r="D26" s="84" t="s">
        <v>37</v>
      </c>
      <c r="E26" s="64">
        <v>2.0</v>
      </c>
      <c r="F26" s="65" t="s">
        <v>59</v>
      </c>
      <c r="G26" s="65" t="s">
        <v>30</v>
      </c>
      <c r="H26" s="65" t="s">
        <v>31</v>
      </c>
      <c r="I26" s="85" t="s">
        <v>36</v>
      </c>
      <c r="J26" s="67">
        <v>1.0</v>
      </c>
      <c r="K26" s="30">
        <v>180.0</v>
      </c>
      <c r="L26" s="68">
        <v>0.0</v>
      </c>
      <c r="M26" s="68">
        <v>3.0</v>
      </c>
      <c r="N26" s="68" t="s">
        <v>60</v>
      </c>
      <c r="O26" s="69" t="s">
        <v>55</v>
      </c>
      <c r="P26" s="69" t="s">
        <v>55</v>
      </c>
      <c r="Q26" s="71" t="s">
        <v>75</v>
      </c>
      <c r="R26" s="84" t="s">
        <v>37</v>
      </c>
      <c r="S26" s="73"/>
    </row>
    <row r="27" ht="22.5" customHeight="1">
      <c r="A27" s="60"/>
      <c r="B27" s="61" t="s">
        <v>99</v>
      </c>
      <c r="C27" s="74" t="s">
        <v>139</v>
      </c>
      <c r="D27" s="75" t="s">
        <v>37</v>
      </c>
      <c r="E27" s="76">
        <v>3.0</v>
      </c>
      <c r="F27" s="86" t="s">
        <v>142</v>
      </c>
      <c r="G27" s="77" t="s">
        <v>30</v>
      </c>
      <c r="H27" s="77" t="s">
        <v>31</v>
      </c>
      <c r="I27" s="87" t="s">
        <v>53</v>
      </c>
      <c r="J27" s="80">
        <v>1.0</v>
      </c>
      <c r="K27" s="80">
        <v>0.0</v>
      </c>
      <c r="L27" s="81">
        <v>180.0</v>
      </c>
      <c r="M27" s="81">
        <v>3.0</v>
      </c>
      <c r="N27" s="81" t="s">
        <v>60</v>
      </c>
      <c r="O27" s="82" t="s">
        <v>55</v>
      </c>
      <c r="P27" s="88" t="s">
        <v>40</v>
      </c>
      <c r="Q27" s="83" t="s">
        <v>75</v>
      </c>
      <c r="R27" s="75" t="s">
        <v>37</v>
      </c>
      <c r="S27" s="73"/>
    </row>
    <row r="28" ht="22.5" customHeight="1">
      <c r="A28" s="60"/>
      <c r="B28" s="61" t="s">
        <v>99</v>
      </c>
      <c r="C28" s="89" t="s">
        <v>139</v>
      </c>
      <c r="D28" s="65" t="s">
        <v>58</v>
      </c>
      <c r="E28" s="64">
        <v>4.0</v>
      </c>
      <c r="F28" s="90" t="s">
        <v>78</v>
      </c>
      <c r="G28" s="65" t="s">
        <v>30</v>
      </c>
      <c r="H28" s="65" t="s">
        <v>31</v>
      </c>
      <c r="I28" s="91" t="s">
        <v>38</v>
      </c>
      <c r="J28" s="67">
        <v>1.0</v>
      </c>
      <c r="K28" s="67">
        <v>0.0</v>
      </c>
      <c r="L28" s="92">
        <v>110.0</v>
      </c>
      <c r="M28" s="93"/>
      <c r="N28" s="68" t="s">
        <v>54</v>
      </c>
      <c r="O28" s="69" t="s">
        <v>55</v>
      </c>
      <c r="P28" s="69" t="s">
        <v>55</v>
      </c>
      <c r="Q28" s="62" t="s">
        <v>58</v>
      </c>
      <c r="R28" s="94" t="s">
        <v>33</v>
      </c>
      <c r="S28" s="73"/>
    </row>
  </sheetData>
  <customSheetViews>
    <customSheetView guid="{49FF6D53-992D-4646-A2FC-08831FD96999}" filter="1" showAutoFilter="1">
      <autoFilter ref="$B$8:$S$28"/>
    </customSheetView>
  </customSheetViews>
  <mergeCells count="7">
    <mergeCell ref="B1:C1"/>
    <mergeCell ref="B2:C2"/>
    <mergeCell ref="F2:G5"/>
    <mergeCell ref="B4:C4"/>
    <mergeCell ref="B5:C5"/>
    <mergeCell ref="B6:C6"/>
    <mergeCell ref="F7:H7"/>
  </mergeCells>
  <dataValidations>
    <dataValidation type="list" allowBlank="1" sqref="I9:I28">
      <formula1>"Vídeo aula (roteiro,Slide,Plano de Aula,Fórum,PDF (avulso),Tela Interativa,Quiz,Ebook"</formula1>
    </dataValidation>
    <dataValidation type="custom" allowBlank="1" showDropDown="1" sqref="E9:E28 J9:K28">
      <formula1>AND(ISNUMBER(E9),(NOT(OR(NOT(ISERROR(DATEVALUE(E9))), AND(ISNUMBER(E9), LEFT(CELL("format", E9))="D")))))</formula1>
    </dataValidation>
    <dataValidation type="list" allowBlank="1" sqref="O9:P28">
      <formula1>"Não prevista,Quiz,Atividade Aberta,Genially,Portfólio (várias atividades),Idem"</formula1>
    </dataValidation>
    <dataValidation allowBlank="1" showDropDown="1" sqref="B9:B28 D9:D28 F9:H28"/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2.63" defaultRowHeight="15.75"/>
  <cols>
    <col customWidth="1" min="1" max="1" width="11.75"/>
    <col customWidth="1" min="2" max="2" width="17.25"/>
    <col customWidth="1" min="3" max="3" width="33.75"/>
    <col customWidth="1" min="4" max="4" width="41.63"/>
    <col customWidth="1" min="5" max="5" width="16.5"/>
    <col customWidth="1" min="6" max="6" width="40.88"/>
    <col customWidth="1" min="7" max="7" width="22.13"/>
    <col customWidth="1" min="8" max="8" width="42.38"/>
    <col customWidth="1" min="9" max="9" width="24.88"/>
    <col customWidth="1" min="10" max="11" width="37.63"/>
    <col customWidth="1" min="12" max="12" width="29.0"/>
    <col customWidth="1" min="13" max="13" width="30.25"/>
    <col customWidth="1" min="14" max="14" width="25.88"/>
    <col customWidth="1" min="15" max="16" width="26.5"/>
    <col customWidth="1" min="17" max="17" width="24.25"/>
    <col customWidth="1" min="18" max="18" width="28.38"/>
    <col customWidth="1" min="19" max="19" width="46.13"/>
  </cols>
  <sheetData>
    <row r="1">
      <c r="A1" s="1"/>
      <c r="B1" s="2"/>
      <c r="C1" s="3"/>
      <c r="D1" s="4"/>
      <c r="E1" s="4"/>
      <c r="F1" s="4"/>
      <c r="G1" s="5"/>
      <c r="H1" s="4"/>
      <c r="I1" s="4"/>
      <c r="J1" s="4"/>
      <c r="K1" s="4"/>
      <c r="L1" s="5"/>
      <c r="M1" s="6"/>
      <c r="N1" s="6"/>
      <c r="O1" s="6"/>
      <c r="P1" s="6"/>
      <c r="Q1" s="6"/>
      <c r="R1" s="5"/>
      <c r="S1" s="5"/>
    </row>
    <row r="2" ht="21.75" customHeight="1">
      <c r="B2" s="7" t="s">
        <v>0</v>
      </c>
      <c r="C2" s="3"/>
      <c r="D2" s="8" t="s">
        <v>1</v>
      </c>
      <c r="E2" s="9">
        <f>(SUM(K:K)/60/24)</f>
        <v>0.625</v>
      </c>
      <c r="F2" s="10" t="s">
        <v>143</v>
      </c>
      <c r="H2" s="4"/>
      <c r="I2" s="5"/>
      <c r="J2" s="6"/>
      <c r="K2" s="6"/>
      <c r="L2" s="6"/>
      <c r="M2" s="6"/>
      <c r="N2" s="6"/>
      <c r="O2" s="5"/>
      <c r="P2" s="5"/>
    </row>
    <row r="3">
      <c r="A3" s="4"/>
      <c r="B3" s="4"/>
      <c r="C3" s="4"/>
      <c r="D3" s="11" t="s">
        <v>3</v>
      </c>
      <c r="E3" s="9">
        <f>(SUM(L:L)/60/24)</f>
        <v>1</v>
      </c>
      <c r="H3" s="4"/>
      <c r="I3" s="4"/>
      <c r="J3" s="4"/>
      <c r="K3" s="4"/>
      <c r="L3" s="5"/>
      <c r="M3" s="6"/>
      <c r="N3" s="6"/>
      <c r="O3" s="6"/>
      <c r="P3" s="6"/>
      <c r="Q3" s="6"/>
      <c r="R3" s="5"/>
      <c r="S3" s="5"/>
    </row>
    <row r="4" ht="18.75" customHeight="1">
      <c r="A4" s="1"/>
      <c r="B4" s="12" t="s">
        <v>4</v>
      </c>
      <c r="C4" s="13"/>
      <c r="D4" s="14" t="s">
        <v>5</v>
      </c>
      <c r="E4" s="9">
        <f>(SUM(Q:Q)/60/24)</f>
        <v>0</v>
      </c>
      <c r="H4" s="4"/>
      <c r="I4" s="4"/>
      <c r="J4" s="4"/>
      <c r="K4" s="4"/>
      <c r="L4" s="5"/>
      <c r="M4" s="6"/>
      <c r="N4" s="6"/>
      <c r="O4" s="6"/>
      <c r="P4" s="6"/>
      <c r="Q4" s="6"/>
      <c r="R4" s="5"/>
      <c r="S4" s="5"/>
    </row>
    <row r="5">
      <c r="A5" s="1"/>
      <c r="B5" s="12" t="s">
        <v>6</v>
      </c>
      <c r="C5" s="13"/>
      <c r="D5" s="11" t="s">
        <v>7</v>
      </c>
      <c r="E5" s="15">
        <f>SUM(E2:E4)</f>
        <v>1.625</v>
      </c>
      <c r="H5" s="4"/>
      <c r="I5" s="4"/>
      <c r="J5" s="4"/>
      <c r="K5" s="4"/>
      <c r="L5" s="5"/>
      <c r="M5" s="6"/>
      <c r="N5" s="6"/>
      <c r="O5" s="6"/>
      <c r="P5" s="6"/>
      <c r="Q5" s="6"/>
      <c r="R5" s="5"/>
      <c r="S5" s="5"/>
    </row>
    <row r="6">
      <c r="A6" s="1"/>
      <c r="B6" s="2"/>
      <c r="C6" s="3"/>
      <c r="D6" s="4"/>
      <c r="E6" s="4"/>
      <c r="F6" s="4"/>
      <c r="G6" s="5"/>
      <c r="H6" s="4"/>
      <c r="I6" s="4"/>
      <c r="J6" s="4"/>
      <c r="K6" s="4"/>
      <c r="L6" s="5"/>
      <c r="M6" s="6"/>
      <c r="N6" s="6"/>
      <c r="O6" s="6"/>
      <c r="P6" s="6"/>
      <c r="Q6" s="6"/>
      <c r="R6" s="5"/>
      <c r="S6" s="5"/>
    </row>
    <row r="7" ht="26.25" customHeight="1">
      <c r="A7" s="16"/>
      <c r="B7" s="16"/>
      <c r="C7" s="4"/>
      <c r="D7" s="4"/>
      <c r="E7" s="4"/>
      <c r="F7" s="17"/>
      <c r="G7" s="18"/>
      <c r="H7" s="13"/>
      <c r="I7" s="4"/>
      <c r="J7" s="4"/>
      <c r="K7" s="4"/>
      <c r="L7" s="5"/>
      <c r="M7" s="6"/>
      <c r="N7" s="6"/>
      <c r="O7" s="6"/>
      <c r="P7" s="6"/>
      <c r="Q7" s="6"/>
      <c r="R7" s="5"/>
      <c r="S7" s="5"/>
    </row>
    <row r="8" ht="22.5" customHeight="1">
      <c r="A8" s="16"/>
      <c r="B8" s="19" t="s">
        <v>8</v>
      </c>
      <c r="C8" s="19" t="s">
        <v>9</v>
      </c>
      <c r="D8" s="19" t="s">
        <v>10</v>
      </c>
      <c r="E8" s="19" t="s">
        <v>11</v>
      </c>
      <c r="F8" s="19" t="s">
        <v>12</v>
      </c>
      <c r="G8" s="19" t="s">
        <v>13</v>
      </c>
      <c r="H8" s="19" t="s">
        <v>14</v>
      </c>
      <c r="I8" s="20" t="s">
        <v>15</v>
      </c>
      <c r="J8" s="21" t="s">
        <v>16</v>
      </c>
      <c r="K8" s="21" t="s">
        <v>17</v>
      </c>
      <c r="L8" s="21" t="s">
        <v>18</v>
      </c>
      <c r="M8" s="21" t="s">
        <v>19</v>
      </c>
      <c r="N8" s="21" t="s">
        <v>20</v>
      </c>
      <c r="O8" s="20" t="s">
        <v>21</v>
      </c>
      <c r="P8" s="20" t="s">
        <v>22</v>
      </c>
      <c r="Q8" s="21" t="s">
        <v>23</v>
      </c>
      <c r="R8" s="20" t="s">
        <v>24</v>
      </c>
      <c r="S8" s="20" t="s">
        <v>25</v>
      </c>
    </row>
    <row r="9" ht="22.5" customHeight="1">
      <c r="A9" s="16"/>
      <c r="B9" s="22" t="s">
        <v>26</v>
      </c>
      <c r="C9" s="37" t="s">
        <v>144</v>
      </c>
      <c r="D9" s="28" t="s">
        <v>145</v>
      </c>
      <c r="E9" s="38">
        <v>1.0</v>
      </c>
      <c r="F9" s="28" t="s">
        <v>146</v>
      </c>
      <c r="G9" s="28" t="s">
        <v>30</v>
      </c>
      <c r="H9" s="28" t="s">
        <v>31</v>
      </c>
      <c r="I9" s="39" t="s">
        <v>53</v>
      </c>
      <c r="J9" s="30">
        <v>6.0</v>
      </c>
      <c r="K9" s="30">
        <v>0.0</v>
      </c>
      <c r="L9" s="32">
        <v>360.0</v>
      </c>
      <c r="M9" s="32">
        <v>4.0</v>
      </c>
      <c r="N9" s="32" t="s">
        <v>54</v>
      </c>
      <c r="O9" s="33" t="s">
        <v>55</v>
      </c>
      <c r="P9" s="33" t="s">
        <v>35</v>
      </c>
      <c r="Q9" s="32"/>
      <c r="R9" s="34" t="s">
        <v>75</v>
      </c>
      <c r="S9" s="34" t="s">
        <v>57</v>
      </c>
    </row>
    <row r="10" ht="22.5" customHeight="1">
      <c r="A10" s="16"/>
      <c r="B10" s="22" t="s">
        <v>26</v>
      </c>
      <c r="C10" s="37" t="s">
        <v>144</v>
      </c>
      <c r="D10" s="28" t="s">
        <v>37</v>
      </c>
      <c r="E10" s="38">
        <v>1.0</v>
      </c>
      <c r="F10" s="28" t="s">
        <v>37</v>
      </c>
      <c r="G10" s="28" t="s">
        <v>30</v>
      </c>
      <c r="H10" s="28" t="s">
        <v>31</v>
      </c>
      <c r="I10" s="39" t="s">
        <v>34</v>
      </c>
      <c r="J10" s="30">
        <v>6.0</v>
      </c>
      <c r="K10" s="30">
        <v>0.0</v>
      </c>
      <c r="L10" s="32">
        <v>0.0</v>
      </c>
      <c r="M10" s="32">
        <v>0.0</v>
      </c>
      <c r="N10" s="32" t="s">
        <v>54</v>
      </c>
      <c r="O10" s="33" t="s">
        <v>55</v>
      </c>
      <c r="P10" s="33" t="s">
        <v>55</v>
      </c>
      <c r="Q10" s="32"/>
      <c r="R10" s="34" t="s">
        <v>75</v>
      </c>
      <c r="S10" s="34" t="s">
        <v>37</v>
      </c>
    </row>
    <row r="11" ht="22.5" customHeight="1">
      <c r="A11" s="16"/>
      <c r="B11" s="22" t="s">
        <v>26</v>
      </c>
      <c r="C11" s="37" t="s">
        <v>144</v>
      </c>
      <c r="D11" s="28" t="s">
        <v>37</v>
      </c>
      <c r="E11" s="38">
        <v>2.0</v>
      </c>
      <c r="F11" s="28" t="s">
        <v>137</v>
      </c>
      <c r="G11" s="28" t="s">
        <v>30</v>
      </c>
      <c r="H11" s="28" t="s">
        <v>31</v>
      </c>
      <c r="I11" s="39" t="s">
        <v>36</v>
      </c>
      <c r="J11" s="30">
        <v>1.0</v>
      </c>
      <c r="K11" s="30">
        <v>180.0</v>
      </c>
      <c r="L11" s="32">
        <v>0.0</v>
      </c>
      <c r="M11" s="32">
        <v>1.0</v>
      </c>
      <c r="N11" s="32" t="s">
        <v>60</v>
      </c>
      <c r="O11" s="33" t="s">
        <v>55</v>
      </c>
      <c r="P11" s="33" t="s">
        <v>55</v>
      </c>
      <c r="Q11" s="32"/>
      <c r="R11" s="34" t="s">
        <v>75</v>
      </c>
      <c r="S11" s="34" t="s">
        <v>37</v>
      </c>
    </row>
    <row r="12" ht="22.5" customHeight="1">
      <c r="A12" s="16"/>
      <c r="B12" s="22" t="s">
        <v>26</v>
      </c>
      <c r="C12" s="37" t="s">
        <v>144</v>
      </c>
      <c r="D12" s="28" t="s">
        <v>37</v>
      </c>
      <c r="E12" s="38"/>
      <c r="F12" s="28" t="s">
        <v>78</v>
      </c>
      <c r="G12" s="28" t="s">
        <v>30</v>
      </c>
      <c r="H12" s="28" t="s">
        <v>31</v>
      </c>
      <c r="I12" s="29" t="s">
        <v>38</v>
      </c>
      <c r="J12" s="30">
        <v>1.0</v>
      </c>
      <c r="K12" s="30"/>
      <c r="L12" s="32"/>
      <c r="M12" s="31">
        <v>1.0</v>
      </c>
      <c r="N12" s="32" t="s">
        <v>54</v>
      </c>
      <c r="O12" s="33" t="s">
        <v>55</v>
      </c>
      <c r="P12" s="33" t="s">
        <v>55</v>
      </c>
      <c r="Q12" s="32"/>
      <c r="R12" s="34"/>
      <c r="S12" s="34"/>
    </row>
    <row r="13" ht="22.5" customHeight="1">
      <c r="A13" s="16"/>
      <c r="B13" s="22" t="s">
        <v>41</v>
      </c>
      <c r="C13" s="37" t="s">
        <v>147</v>
      </c>
      <c r="D13" s="24" t="s">
        <v>148</v>
      </c>
      <c r="E13" s="38">
        <v>1.0</v>
      </c>
      <c r="F13" s="24" t="s">
        <v>149</v>
      </c>
      <c r="G13" s="28" t="s">
        <v>30</v>
      </c>
      <c r="H13" s="28" t="s">
        <v>31</v>
      </c>
      <c r="I13" s="39" t="s">
        <v>53</v>
      </c>
      <c r="J13" s="30">
        <v>3.0</v>
      </c>
      <c r="K13" s="30">
        <v>0.0</v>
      </c>
      <c r="L13" s="31">
        <v>180.0</v>
      </c>
      <c r="M13" s="32">
        <v>4.0</v>
      </c>
      <c r="N13" s="32" t="s">
        <v>54</v>
      </c>
      <c r="O13" s="33" t="s">
        <v>55</v>
      </c>
      <c r="P13" s="33" t="s">
        <v>35</v>
      </c>
      <c r="Q13" s="32"/>
      <c r="R13" s="34" t="s">
        <v>75</v>
      </c>
      <c r="S13" s="34" t="s">
        <v>57</v>
      </c>
    </row>
    <row r="14" ht="22.5" customHeight="1">
      <c r="A14" s="16"/>
      <c r="B14" s="22" t="s">
        <v>41</v>
      </c>
      <c r="C14" s="37" t="s">
        <v>147</v>
      </c>
      <c r="D14" s="28" t="s">
        <v>37</v>
      </c>
      <c r="E14" s="38">
        <v>1.0</v>
      </c>
      <c r="F14" s="28" t="s">
        <v>37</v>
      </c>
      <c r="G14" s="28" t="s">
        <v>30</v>
      </c>
      <c r="H14" s="28" t="s">
        <v>31</v>
      </c>
      <c r="I14" s="39" t="s">
        <v>34</v>
      </c>
      <c r="J14" s="30">
        <v>3.0</v>
      </c>
      <c r="K14" s="30">
        <v>0.0</v>
      </c>
      <c r="L14" s="32">
        <v>0.0</v>
      </c>
      <c r="M14" s="32">
        <v>0.0</v>
      </c>
      <c r="N14" s="32" t="s">
        <v>54</v>
      </c>
      <c r="O14" s="33" t="s">
        <v>55</v>
      </c>
      <c r="P14" s="33" t="s">
        <v>55</v>
      </c>
      <c r="Q14" s="32"/>
      <c r="R14" s="34" t="s">
        <v>75</v>
      </c>
      <c r="S14" s="34" t="s">
        <v>37</v>
      </c>
    </row>
    <row r="15" ht="22.5" customHeight="1">
      <c r="A15" s="16"/>
      <c r="B15" s="22" t="s">
        <v>41</v>
      </c>
      <c r="C15" s="37" t="s">
        <v>147</v>
      </c>
      <c r="D15" s="28" t="s">
        <v>37</v>
      </c>
      <c r="E15" s="38">
        <v>2.0</v>
      </c>
      <c r="F15" s="28" t="s">
        <v>137</v>
      </c>
      <c r="G15" s="28" t="s">
        <v>30</v>
      </c>
      <c r="H15" s="28" t="s">
        <v>31</v>
      </c>
      <c r="I15" s="39" t="s">
        <v>36</v>
      </c>
      <c r="J15" s="30">
        <v>1.0</v>
      </c>
      <c r="K15" s="30">
        <v>180.0</v>
      </c>
      <c r="L15" s="32">
        <v>0.0</v>
      </c>
      <c r="M15" s="32">
        <v>1.0</v>
      </c>
      <c r="N15" s="32" t="s">
        <v>60</v>
      </c>
      <c r="O15" s="33" t="s">
        <v>55</v>
      </c>
      <c r="P15" s="33" t="s">
        <v>55</v>
      </c>
      <c r="Q15" s="32"/>
      <c r="R15" s="34" t="s">
        <v>75</v>
      </c>
      <c r="S15" s="34" t="s">
        <v>37</v>
      </c>
    </row>
    <row r="16" ht="22.5" customHeight="1">
      <c r="A16" s="16"/>
      <c r="B16" s="22" t="s">
        <v>45</v>
      </c>
      <c r="C16" s="37" t="s">
        <v>150</v>
      </c>
      <c r="D16" s="28" t="s">
        <v>151</v>
      </c>
      <c r="E16" s="38">
        <v>1.0</v>
      </c>
      <c r="F16" s="28" t="s">
        <v>152</v>
      </c>
      <c r="G16" s="28" t="s">
        <v>30</v>
      </c>
      <c r="H16" s="28" t="s">
        <v>31</v>
      </c>
      <c r="I16" s="39" t="s">
        <v>53</v>
      </c>
      <c r="J16" s="30">
        <v>5.0</v>
      </c>
      <c r="K16" s="30">
        <v>0.0</v>
      </c>
      <c r="L16" s="32">
        <v>300.0</v>
      </c>
      <c r="M16" s="32">
        <v>4.0</v>
      </c>
      <c r="N16" s="32" t="s">
        <v>54</v>
      </c>
      <c r="O16" s="33" t="s">
        <v>55</v>
      </c>
      <c r="P16" s="33" t="s">
        <v>35</v>
      </c>
      <c r="Q16" s="32"/>
      <c r="R16" s="34" t="s">
        <v>75</v>
      </c>
      <c r="S16" s="34" t="s">
        <v>57</v>
      </c>
    </row>
    <row r="17" ht="22.5" customHeight="1">
      <c r="A17" s="16"/>
      <c r="B17" s="22" t="s">
        <v>45</v>
      </c>
      <c r="C17" s="37" t="s">
        <v>150</v>
      </c>
      <c r="D17" s="28" t="s">
        <v>37</v>
      </c>
      <c r="E17" s="38">
        <v>1.0</v>
      </c>
      <c r="F17" s="28" t="s">
        <v>37</v>
      </c>
      <c r="G17" s="28" t="s">
        <v>30</v>
      </c>
      <c r="H17" s="28" t="s">
        <v>31</v>
      </c>
      <c r="I17" s="39" t="s">
        <v>34</v>
      </c>
      <c r="J17" s="30">
        <v>5.0</v>
      </c>
      <c r="K17" s="30">
        <v>0.0</v>
      </c>
      <c r="L17" s="32">
        <v>0.0</v>
      </c>
      <c r="M17" s="32">
        <v>0.0</v>
      </c>
      <c r="N17" s="32" t="s">
        <v>54</v>
      </c>
      <c r="O17" s="33" t="s">
        <v>55</v>
      </c>
      <c r="P17" s="33" t="s">
        <v>55</v>
      </c>
      <c r="Q17" s="32"/>
      <c r="R17" s="34" t="s">
        <v>75</v>
      </c>
      <c r="S17" s="34" t="s">
        <v>37</v>
      </c>
    </row>
    <row r="18" ht="22.5" customHeight="1">
      <c r="A18" s="16"/>
      <c r="B18" s="22" t="s">
        <v>45</v>
      </c>
      <c r="C18" s="37" t="s">
        <v>150</v>
      </c>
      <c r="D18" s="28" t="s">
        <v>37</v>
      </c>
      <c r="E18" s="38">
        <v>2.0</v>
      </c>
      <c r="F18" s="28" t="s">
        <v>137</v>
      </c>
      <c r="G18" s="28" t="s">
        <v>30</v>
      </c>
      <c r="H18" s="28" t="s">
        <v>31</v>
      </c>
      <c r="I18" s="39" t="s">
        <v>36</v>
      </c>
      <c r="J18" s="30">
        <v>1.0</v>
      </c>
      <c r="K18" s="30">
        <v>180.0</v>
      </c>
      <c r="L18" s="32">
        <v>0.0</v>
      </c>
      <c r="M18" s="32">
        <v>1.0</v>
      </c>
      <c r="N18" s="32" t="s">
        <v>60</v>
      </c>
      <c r="O18" s="33" t="s">
        <v>55</v>
      </c>
      <c r="P18" s="33" t="s">
        <v>55</v>
      </c>
      <c r="Q18" s="32"/>
      <c r="R18" s="34" t="s">
        <v>75</v>
      </c>
      <c r="S18" s="34" t="s">
        <v>37</v>
      </c>
    </row>
    <row r="19" ht="22.5" customHeight="1">
      <c r="A19" s="16"/>
      <c r="B19" s="22" t="s">
        <v>99</v>
      </c>
      <c r="C19" s="37" t="s">
        <v>153</v>
      </c>
      <c r="D19" s="28" t="s">
        <v>154</v>
      </c>
      <c r="E19" s="38">
        <v>1.0</v>
      </c>
      <c r="F19" s="28" t="s">
        <v>155</v>
      </c>
      <c r="G19" s="28" t="s">
        <v>30</v>
      </c>
      <c r="H19" s="28" t="s">
        <v>31</v>
      </c>
      <c r="I19" s="39" t="s">
        <v>53</v>
      </c>
      <c r="J19" s="30">
        <v>5.0</v>
      </c>
      <c r="K19" s="30">
        <v>0.0</v>
      </c>
      <c r="L19" s="31">
        <v>300.0</v>
      </c>
      <c r="M19" s="32">
        <v>4.0</v>
      </c>
      <c r="N19" s="32" t="s">
        <v>54</v>
      </c>
      <c r="O19" s="33" t="s">
        <v>55</v>
      </c>
      <c r="P19" s="33" t="s">
        <v>35</v>
      </c>
      <c r="Q19" s="32"/>
      <c r="R19" s="34" t="s">
        <v>75</v>
      </c>
      <c r="S19" s="34" t="s">
        <v>57</v>
      </c>
    </row>
    <row r="20" ht="22.5" customHeight="1">
      <c r="A20" s="16"/>
      <c r="B20" s="22" t="s">
        <v>99</v>
      </c>
      <c r="C20" s="37" t="s">
        <v>153</v>
      </c>
      <c r="D20" s="28" t="s">
        <v>37</v>
      </c>
      <c r="E20" s="38">
        <v>1.0</v>
      </c>
      <c r="F20" s="28" t="s">
        <v>37</v>
      </c>
      <c r="G20" s="28" t="s">
        <v>30</v>
      </c>
      <c r="H20" s="28" t="s">
        <v>31</v>
      </c>
      <c r="I20" s="39" t="s">
        <v>34</v>
      </c>
      <c r="J20" s="30">
        <v>5.0</v>
      </c>
      <c r="K20" s="30">
        <v>0.0</v>
      </c>
      <c r="L20" s="32">
        <v>0.0</v>
      </c>
      <c r="M20" s="32">
        <v>0.0</v>
      </c>
      <c r="N20" s="32" t="s">
        <v>54</v>
      </c>
      <c r="O20" s="33" t="s">
        <v>55</v>
      </c>
      <c r="P20" s="33" t="s">
        <v>55</v>
      </c>
      <c r="Q20" s="32"/>
      <c r="R20" s="34" t="s">
        <v>75</v>
      </c>
      <c r="S20" s="34" t="s">
        <v>37</v>
      </c>
    </row>
    <row r="21" ht="22.5" customHeight="1">
      <c r="A21" s="16"/>
      <c r="B21" s="22" t="s">
        <v>99</v>
      </c>
      <c r="C21" s="37" t="s">
        <v>153</v>
      </c>
      <c r="D21" s="28" t="s">
        <v>37</v>
      </c>
      <c r="E21" s="38">
        <v>2.0</v>
      </c>
      <c r="F21" s="28" t="s">
        <v>137</v>
      </c>
      <c r="G21" s="28" t="s">
        <v>30</v>
      </c>
      <c r="H21" s="28" t="s">
        <v>31</v>
      </c>
      <c r="I21" s="39" t="s">
        <v>36</v>
      </c>
      <c r="J21" s="30">
        <v>1.0</v>
      </c>
      <c r="K21" s="30">
        <v>180.0</v>
      </c>
      <c r="L21" s="32">
        <v>0.0</v>
      </c>
      <c r="M21" s="32">
        <v>1.0</v>
      </c>
      <c r="N21" s="32" t="s">
        <v>60</v>
      </c>
      <c r="O21" s="33" t="s">
        <v>55</v>
      </c>
      <c r="P21" s="33" t="s">
        <v>55</v>
      </c>
      <c r="Q21" s="32"/>
      <c r="R21" s="34" t="s">
        <v>75</v>
      </c>
      <c r="S21" s="34" t="s">
        <v>37</v>
      </c>
    </row>
    <row r="22" ht="22.5" customHeight="1">
      <c r="A22" s="16"/>
      <c r="B22" s="22" t="s">
        <v>156</v>
      </c>
      <c r="C22" s="37" t="s">
        <v>157</v>
      </c>
      <c r="D22" s="24" t="s">
        <v>158</v>
      </c>
      <c r="E22" s="38">
        <v>1.0</v>
      </c>
      <c r="F22" s="24" t="s">
        <v>159</v>
      </c>
      <c r="G22" s="28" t="s">
        <v>30</v>
      </c>
      <c r="H22" s="28" t="s">
        <v>31</v>
      </c>
      <c r="I22" s="39" t="s">
        <v>53</v>
      </c>
      <c r="J22" s="30">
        <v>4.0</v>
      </c>
      <c r="K22" s="30">
        <v>0.0</v>
      </c>
      <c r="L22" s="31">
        <v>240.0</v>
      </c>
      <c r="M22" s="32">
        <v>4.0</v>
      </c>
      <c r="N22" s="32" t="s">
        <v>54</v>
      </c>
      <c r="O22" s="33" t="s">
        <v>55</v>
      </c>
      <c r="P22" s="33" t="s">
        <v>35</v>
      </c>
      <c r="Q22" s="32"/>
      <c r="R22" s="34" t="s">
        <v>75</v>
      </c>
      <c r="S22" s="34" t="s">
        <v>57</v>
      </c>
    </row>
    <row r="23" ht="22.5" customHeight="1">
      <c r="A23" s="16"/>
      <c r="B23" s="22" t="s">
        <v>156</v>
      </c>
      <c r="C23" s="37" t="s">
        <v>157</v>
      </c>
      <c r="D23" s="28" t="s">
        <v>37</v>
      </c>
      <c r="E23" s="38">
        <v>1.0</v>
      </c>
      <c r="F23" s="28" t="s">
        <v>37</v>
      </c>
      <c r="G23" s="28" t="s">
        <v>30</v>
      </c>
      <c r="H23" s="28" t="s">
        <v>31</v>
      </c>
      <c r="I23" s="39" t="s">
        <v>34</v>
      </c>
      <c r="J23" s="30">
        <v>4.0</v>
      </c>
      <c r="K23" s="30">
        <v>0.0</v>
      </c>
      <c r="L23" s="32">
        <v>0.0</v>
      </c>
      <c r="M23" s="32">
        <v>0.0</v>
      </c>
      <c r="N23" s="32" t="s">
        <v>54</v>
      </c>
      <c r="O23" s="33" t="s">
        <v>55</v>
      </c>
      <c r="P23" s="33" t="s">
        <v>55</v>
      </c>
      <c r="Q23" s="32"/>
      <c r="R23" s="34" t="s">
        <v>75</v>
      </c>
      <c r="S23" s="34" t="s">
        <v>37</v>
      </c>
    </row>
    <row r="24" ht="22.5" customHeight="1">
      <c r="A24" s="16"/>
      <c r="B24" s="22" t="s">
        <v>156</v>
      </c>
      <c r="C24" s="37" t="s">
        <v>157</v>
      </c>
      <c r="D24" s="28" t="s">
        <v>37</v>
      </c>
      <c r="E24" s="38">
        <v>2.0</v>
      </c>
      <c r="F24" s="28" t="s">
        <v>137</v>
      </c>
      <c r="G24" s="28" t="s">
        <v>30</v>
      </c>
      <c r="H24" s="28" t="s">
        <v>31</v>
      </c>
      <c r="I24" s="39" t="s">
        <v>36</v>
      </c>
      <c r="J24" s="30">
        <v>1.0</v>
      </c>
      <c r="K24" s="30">
        <v>180.0</v>
      </c>
      <c r="L24" s="32">
        <v>0.0</v>
      </c>
      <c r="M24" s="32">
        <v>1.0</v>
      </c>
      <c r="N24" s="32" t="s">
        <v>60</v>
      </c>
      <c r="O24" s="33" t="s">
        <v>55</v>
      </c>
      <c r="P24" s="33" t="s">
        <v>55</v>
      </c>
      <c r="Q24" s="32"/>
      <c r="R24" s="34" t="s">
        <v>75</v>
      </c>
      <c r="S24" s="34" t="s">
        <v>37</v>
      </c>
    </row>
    <row r="25" ht="22.5" customHeight="1">
      <c r="A25" s="16"/>
      <c r="B25" s="22" t="s">
        <v>156</v>
      </c>
      <c r="C25" s="37" t="s">
        <v>157</v>
      </c>
      <c r="D25" s="28"/>
      <c r="E25" s="38"/>
      <c r="F25" s="28"/>
      <c r="G25" s="28"/>
      <c r="H25" s="28"/>
      <c r="I25" s="29" t="s">
        <v>53</v>
      </c>
      <c r="J25" s="30">
        <v>1.0</v>
      </c>
      <c r="K25" s="30"/>
      <c r="L25" s="31">
        <v>60.0</v>
      </c>
      <c r="M25" s="31">
        <v>1.0</v>
      </c>
      <c r="N25" s="32" t="s">
        <v>54</v>
      </c>
      <c r="O25" s="33" t="s">
        <v>40</v>
      </c>
      <c r="P25" s="33" t="s">
        <v>55</v>
      </c>
      <c r="Q25" s="32"/>
      <c r="R25" s="34" t="s">
        <v>75</v>
      </c>
      <c r="S25" s="34" t="s">
        <v>37</v>
      </c>
    </row>
  </sheetData>
  <customSheetViews>
    <customSheetView guid="{49FF6D53-992D-4646-A2FC-08831FD96999}" filter="1" showAutoFilter="1">
      <autoFilter ref="$B$8:$S$25"/>
    </customSheetView>
  </customSheetViews>
  <mergeCells count="7">
    <mergeCell ref="B1:C1"/>
    <mergeCell ref="B2:C2"/>
    <mergeCell ref="F2:G5"/>
    <mergeCell ref="B4:C4"/>
    <mergeCell ref="B5:C5"/>
    <mergeCell ref="B6:C6"/>
    <mergeCell ref="F7:H7"/>
  </mergeCells>
  <dataValidations>
    <dataValidation type="list" allowBlank="1" sqref="I9:I25">
      <formula1>"Vídeo aula (roteiro,Slide,Plano de Aula,Fórum,PDF (avulso),Tela Interativa,Quiz,Ebook"</formula1>
    </dataValidation>
    <dataValidation type="custom" allowBlank="1" showDropDown="1" sqref="E9:E25 J9:K25">
      <formula1>AND(ISNUMBER(E9),(NOT(OR(NOT(ISERROR(DATEVALUE(E9))), AND(ISNUMBER(E9), LEFT(CELL("format", E9))="D")))))</formula1>
    </dataValidation>
    <dataValidation type="list" allowBlank="1" sqref="O9:P25">
      <formula1>"Não prevista,Quiz,Atividade Aberta,Genially,Portfólio (várias atividades),Idem"</formula1>
    </dataValidation>
    <dataValidation allowBlank="1" showDropDown="1" sqref="B9:B25 D9:D25 F9:H25"/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